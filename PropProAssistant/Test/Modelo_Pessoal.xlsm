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54cd02815d7cac6c/Documentos/Projetos/proppro-assistant/PropProAssistant/Test/"/>
    </mc:Choice>
  </mc:AlternateContent>
  <xr:revisionPtr revIDLastSave="97" documentId="13_ncr:1_{4BFF1F03-FFC8-45CF-A4DC-07C9B29E888F}" xr6:coauthVersionLast="47" xr6:coauthVersionMax="47" xr10:uidLastSave="{9D23AF78-161D-49D7-8D3F-90269B9615EF}"/>
  <bookViews>
    <workbookView xWindow="-120" yWindow="-120" windowWidth="20730" windowHeight="11160" xr2:uid="{00000000-000D-0000-FFFF-FFFF00000000}"/>
  </bookViews>
  <sheets>
    <sheet name="Principal" sheetId="1" r:id="rId1"/>
    <sheet name="DadosProposta" sheetId="2" r:id="rId2"/>
    <sheet name="Modelo" sheetId="3" r:id="rId3"/>
  </sheets>
  <functionGroups builtInGroupCount="19"/>
  <definedNames>
    <definedName name="TabelaModelo">Modelo!$A$1:$D$199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D52" i="1"/>
  <c r="H52" i="1" s="1"/>
  <c r="D51" i="1"/>
  <c r="H51" i="1" s="1"/>
  <c r="D50" i="1"/>
  <c r="H50" i="1" s="1"/>
  <c r="D49" i="1"/>
  <c r="H49" i="1" s="1"/>
  <c r="D48" i="1"/>
  <c r="H48" i="1" s="1"/>
  <c r="D47" i="1"/>
  <c r="H47" i="1" s="1"/>
  <c r="D46" i="1"/>
  <c r="H46" i="1" s="1"/>
  <c r="D45" i="1"/>
  <c r="H45" i="1" s="1"/>
  <c r="D44" i="1"/>
  <c r="H44" i="1" s="1"/>
  <c r="D43" i="1"/>
  <c r="H43" i="1" s="1"/>
  <c r="D42" i="1"/>
  <c r="H42" i="1" s="1"/>
  <c r="D41" i="1"/>
  <c r="H41" i="1" s="1"/>
  <c r="D40" i="1"/>
  <c r="H40" i="1" s="1"/>
  <c r="D39" i="1"/>
  <c r="H39" i="1" s="1"/>
  <c r="D38" i="1"/>
  <c r="H38" i="1" s="1"/>
  <c r="D37" i="1"/>
  <c r="H37" i="1" s="1"/>
  <c r="D36" i="1"/>
  <c r="H36" i="1" s="1"/>
  <c r="D35" i="1"/>
  <c r="H35" i="1" s="1"/>
  <c r="D34" i="1"/>
  <c r="H34" i="1" s="1"/>
  <c r="D33" i="1"/>
  <c r="H33" i="1" s="1"/>
  <c r="D32" i="1"/>
  <c r="H32" i="1" s="1"/>
  <c r="D31" i="1"/>
  <c r="H31" i="1" s="1"/>
  <c r="D30" i="1"/>
  <c r="H30" i="1" s="1"/>
  <c r="D29" i="1"/>
  <c r="H29" i="1" s="1"/>
  <c r="D28" i="1"/>
  <c r="H28" i="1" s="1"/>
  <c r="D27" i="1"/>
  <c r="H27" i="1" s="1"/>
  <c r="D26" i="1"/>
  <c r="H26" i="1" s="1"/>
  <c r="D25" i="1"/>
  <c r="H25" i="1" s="1"/>
  <c r="D24" i="1"/>
  <c r="H24" i="1" s="1"/>
  <c r="D23" i="1"/>
  <c r="H23" i="1" s="1"/>
  <c r="D22" i="1"/>
  <c r="H22" i="1" s="1"/>
  <c r="D21" i="1"/>
  <c r="H21" i="1" s="1"/>
  <c r="D20" i="1"/>
  <c r="H20" i="1" s="1"/>
  <c r="D19" i="1"/>
  <c r="H19" i="1" s="1"/>
  <c r="D18" i="1"/>
  <c r="H18" i="1" s="1"/>
  <c r="D17" i="1"/>
  <c r="H17" i="1" s="1"/>
  <c r="D16" i="1"/>
  <c r="H16" i="1" s="1"/>
  <c r="D15" i="1"/>
  <c r="H15" i="1" s="1"/>
  <c r="D14" i="1"/>
  <c r="H14" i="1" s="1"/>
  <c r="D13" i="1"/>
  <c r="H13" i="1" s="1"/>
  <c r="D12" i="1"/>
  <c r="H12" i="1" s="1"/>
  <c r="D11" i="1"/>
  <c r="H11" i="1" s="1"/>
  <c r="D10" i="1"/>
  <c r="H10" i="1" s="1"/>
  <c r="D9" i="1"/>
  <c r="H9" i="1" s="1"/>
  <c r="D8" i="1"/>
  <c r="H8" i="1" s="1"/>
  <c r="D7" i="1"/>
  <c r="H7" i="1" s="1"/>
  <c r="D6" i="1"/>
  <c r="H6" i="1" s="1"/>
  <c r="D5" i="1"/>
  <c r="H5" i="1" s="1"/>
  <c r="D4" i="1"/>
  <c r="H4" i="1" s="1"/>
  <c r="D3" i="1"/>
  <c r="H3" i="1" s="1"/>
  <c r="D2" i="1"/>
  <c r="H2" i="1" s="1"/>
  <c r="J52" i="1"/>
  <c r="G52" i="1"/>
  <c r="J51" i="1"/>
  <c r="G51" i="1"/>
  <c r="J50" i="1"/>
  <c r="G50" i="1"/>
  <c r="J49" i="1"/>
  <c r="G49" i="1"/>
  <c r="J48" i="1"/>
  <c r="G48" i="1"/>
  <c r="J47" i="1"/>
  <c r="G47" i="1"/>
  <c r="J46" i="1"/>
  <c r="G46" i="1"/>
  <c r="J45" i="1"/>
  <c r="G45" i="1"/>
  <c r="J44" i="1"/>
  <c r="G44" i="1"/>
  <c r="J43" i="1"/>
  <c r="G43" i="1"/>
  <c r="J42" i="1"/>
  <c r="G42" i="1"/>
  <c r="J41" i="1"/>
  <c r="G41" i="1"/>
  <c r="J40" i="1"/>
  <c r="G40" i="1"/>
  <c r="J39" i="1"/>
  <c r="G39" i="1"/>
  <c r="J38" i="1"/>
  <c r="G38" i="1"/>
  <c r="J37" i="1"/>
  <c r="G37" i="1"/>
  <c r="J36" i="1"/>
  <c r="G36" i="1"/>
  <c r="J35" i="1"/>
  <c r="G35" i="1"/>
  <c r="J34" i="1"/>
  <c r="G34" i="1"/>
  <c r="J33" i="1"/>
  <c r="G33" i="1"/>
  <c r="J32" i="1"/>
  <c r="G32" i="1"/>
  <c r="J31" i="1"/>
  <c r="G31" i="1"/>
  <c r="J30" i="1"/>
  <c r="G30" i="1"/>
  <c r="J29" i="1"/>
  <c r="G29" i="1"/>
  <c r="J28" i="1"/>
  <c r="G28" i="1"/>
  <c r="J27" i="1"/>
  <c r="G27" i="1"/>
  <c r="J26" i="1"/>
  <c r="G26" i="1"/>
  <c r="J25" i="1"/>
  <c r="G25" i="1"/>
  <c r="J24" i="1"/>
  <c r="G24" i="1"/>
  <c r="J23" i="1"/>
  <c r="G23" i="1"/>
  <c r="J22" i="1"/>
  <c r="G22" i="1"/>
  <c r="J21" i="1"/>
  <c r="G21" i="1"/>
  <c r="J20" i="1"/>
  <c r="G20" i="1"/>
  <c r="J19" i="1"/>
  <c r="G19" i="1"/>
  <c r="J18" i="1"/>
  <c r="G18" i="1"/>
  <c r="J17" i="1"/>
  <c r="G17" i="1"/>
  <c r="J16" i="1"/>
  <c r="G16" i="1"/>
  <c r="J15" i="1"/>
  <c r="G15" i="1"/>
  <c r="J14" i="1"/>
  <c r="G14" i="1"/>
  <c r="J13" i="1"/>
  <c r="G13" i="1"/>
  <c r="J12" i="1"/>
  <c r="G12" i="1"/>
  <c r="J11" i="1"/>
  <c r="G11" i="1"/>
  <c r="J10" i="1"/>
  <c r="G10" i="1"/>
  <c r="J9" i="1"/>
  <c r="G9" i="1"/>
  <c r="J8" i="1"/>
  <c r="G8" i="1"/>
  <c r="J7" i="1"/>
  <c r="G7" i="1"/>
  <c r="J6" i="1"/>
  <c r="G6" i="1"/>
  <c r="J5" i="1"/>
  <c r="G5" i="1"/>
  <c r="J4" i="1"/>
  <c r="G4" i="1"/>
  <c r="J3" i="1"/>
  <c r="G3" i="1"/>
  <c r="B20" i="1"/>
  <c r="B10" i="1"/>
  <c r="B12" i="1"/>
  <c r="B11" i="1"/>
  <c r="B51" i="1"/>
  <c r="B50" i="1"/>
  <c r="B49" i="1"/>
  <c r="B48" i="1"/>
  <c r="B47" i="1"/>
  <c r="B46" i="1"/>
  <c r="B44" i="1"/>
  <c r="B37" i="1"/>
  <c r="B38" i="1"/>
  <c r="B39" i="1"/>
  <c r="B40" i="1"/>
  <c r="B41" i="1"/>
  <c r="B42" i="1"/>
  <c r="B33" i="1"/>
  <c r="J2" i="1"/>
  <c r="G2" i="1"/>
  <c r="B30" i="1"/>
  <c r="B27" i="1"/>
  <c r="B28" i="1"/>
  <c r="B26" i="1"/>
  <c r="B22" i="1"/>
  <c r="B21" i="1"/>
  <c r="B8" i="1"/>
  <c r="B6" i="1"/>
  <c r="B5" i="1"/>
  <c r="B4" i="1"/>
  <c r="B3" i="1"/>
  <c r="B2" i="1"/>
  <c r="C2" i="2"/>
  <c r="A12" i="2"/>
  <c r="E12" i="2"/>
  <c r="A6" i="2"/>
  <c r="A15" i="2"/>
  <c r="A38" i="2"/>
  <c r="A10" i="2"/>
  <c r="A35" i="2"/>
  <c r="A18" i="2"/>
  <c r="A31" i="2"/>
  <c r="A30" i="2"/>
  <c r="A2" i="2"/>
  <c r="A14" i="2"/>
  <c r="A22" i="2"/>
  <c r="A37" i="2"/>
  <c r="A46" i="2"/>
  <c r="A50" i="2"/>
  <c r="A32" i="2"/>
  <c r="A16" i="2"/>
  <c r="A48" i="2"/>
  <c r="A24" i="2"/>
  <c r="A19" i="2"/>
  <c r="A41" i="2"/>
  <c r="A5" i="2"/>
  <c r="A29" i="2"/>
  <c r="A3" i="2"/>
  <c r="A45" i="2"/>
  <c r="A20" i="2"/>
  <c r="A49" i="2"/>
  <c r="A25" i="2"/>
  <c r="A42" i="2"/>
  <c r="A8" i="2"/>
  <c r="A28" i="2"/>
  <c r="A21" i="2"/>
  <c r="A39" i="2"/>
  <c r="A23" i="2"/>
  <c r="A33" i="2"/>
  <c r="A52" i="2"/>
  <c r="A27" i="2"/>
  <c r="A40" i="2"/>
  <c r="A44" i="2"/>
  <c r="A34" i="2"/>
  <c r="A47" i="2"/>
  <c r="A13" i="2"/>
  <c r="A4" i="2"/>
  <c r="A36" i="2"/>
  <c r="A7" i="2"/>
  <c r="A9" i="2"/>
  <c r="A11" i="2"/>
  <c r="A26" i="2"/>
  <c r="A17" i="2"/>
  <c r="A51" i="2"/>
  <c r="E6" i="2"/>
  <c r="E15" i="2"/>
  <c r="E38" i="2"/>
  <c r="E10" i="2"/>
  <c r="E35" i="2"/>
  <c r="E18" i="2"/>
  <c r="E31" i="2"/>
  <c r="E30" i="2"/>
  <c r="E2" i="2"/>
  <c r="E14" i="2"/>
  <c r="E22" i="2"/>
  <c r="E37" i="2"/>
  <c r="E46" i="2"/>
  <c r="E50" i="2"/>
  <c r="E32" i="2"/>
  <c r="E16" i="2"/>
  <c r="E48" i="2"/>
  <c r="E24" i="2"/>
  <c r="E19" i="2"/>
  <c r="E41" i="2"/>
  <c r="E5" i="2"/>
  <c r="E29" i="2"/>
  <c r="E3" i="2"/>
  <c r="E45" i="2"/>
  <c r="E20" i="2"/>
  <c r="E49" i="2"/>
  <c r="E25" i="2"/>
  <c r="E42" i="2"/>
  <c r="E8" i="2"/>
  <c r="E28" i="2"/>
  <c r="E21" i="2"/>
  <c r="E39" i="2"/>
  <c r="E23" i="2"/>
  <c r="E33" i="2"/>
  <c r="E52" i="2"/>
  <c r="E27" i="2"/>
  <c r="E40" i="2"/>
  <c r="E44" i="2"/>
  <c r="E34" i="2"/>
  <c r="E47" i="2"/>
  <c r="E13" i="2"/>
  <c r="E4" i="2"/>
  <c r="E36" i="2"/>
  <c r="E7" i="2"/>
  <c r="E9" i="2"/>
  <c r="E11" i="2"/>
  <c r="E26" i="2"/>
  <c r="E17" i="2"/>
  <c r="E51" i="2"/>
  <c r="B7" i="1"/>
  <c r="B9" i="1"/>
  <c r="B13" i="1"/>
  <c r="B14" i="1"/>
  <c r="B15" i="1"/>
  <c r="B16" i="1"/>
  <c r="B17" i="1"/>
  <c r="B18" i="1"/>
  <c r="B19" i="1"/>
  <c r="B23" i="1"/>
  <c r="B24" i="1"/>
  <c r="B25" i="1"/>
  <c r="B29" i="1"/>
  <c r="B31" i="1"/>
  <c r="B32" i="1"/>
  <c r="B34" i="1"/>
  <c r="B35" i="1"/>
  <c r="B36" i="1"/>
  <c r="B43" i="1"/>
  <c r="B45" i="1"/>
  <c r="B52" i="1"/>
  <c r="A43" i="2"/>
  <c r="E43" i="2"/>
  <c r="G4" i="2" l="1"/>
  <c r="B43" i="2"/>
  <c r="G9" i="2"/>
  <c r="B4" i="2"/>
  <c r="C43" i="2"/>
  <c r="D50" i="2"/>
  <c r="D46" i="2"/>
  <c r="D42" i="2"/>
  <c r="D38" i="2"/>
  <c r="D34" i="2"/>
  <c r="D30" i="2"/>
  <c r="D26" i="2"/>
  <c r="D22" i="2"/>
  <c r="D18" i="2"/>
  <c r="D14" i="2"/>
  <c r="D10" i="2"/>
  <c r="D6" i="2"/>
  <c r="B51" i="2"/>
  <c r="B47" i="2"/>
  <c r="B39" i="2"/>
  <c r="B35" i="2"/>
  <c r="B31" i="2"/>
  <c r="B27" i="2"/>
  <c r="D4" i="2"/>
  <c r="B3" i="2"/>
  <c r="B16" i="2"/>
  <c r="B12" i="2"/>
  <c r="B8" i="2"/>
  <c r="F6" i="2"/>
  <c r="F14" i="2"/>
  <c r="F22" i="2"/>
  <c r="F28" i="2"/>
  <c r="F38" i="2"/>
  <c r="F42" i="2"/>
  <c r="F44" i="2"/>
  <c r="B23" i="2"/>
  <c r="F8" i="2"/>
  <c r="F12" i="2"/>
  <c r="F20" i="2"/>
  <c r="F30" i="2"/>
  <c r="C52" i="2"/>
  <c r="C48" i="2"/>
  <c r="C44" i="2"/>
  <c r="C40" i="2"/>
  <c r="C36" i="2"/>
  <c r="C32" i="2"/>
  <c r="C28" i="2"/>
  <c r="C24" i="2"/>
  <c r="C20" i="2"/>
  <c r="C16" i="2"/>
  <c r="C12" i="2"/>
  <c r="C8" i="2"/>
  <c r="F4" i="2"/>
  <c r="C10" i="2"/>
  <c r="C50" i="2"/>
  <c r="C46" i="2"/>
  <c r="C42" i="2"/>
  <c r="C38" i="2"/>
  <c r="C34" i="2"/>
  <c r="C30" i="2"/>
  <c r="C26" i="2"/>
  <c r="C22" i="2"/>
  <c r="C18" i="2"/>
  <c r="C14" i="2"/>
  <c r="C6" i="2"/>
  <c r="B19" i="2"/>
  <c r="B15" i="2"/>
  <c r="B11" i="2"/>
  <c r="B7" i="2"/>
  <c r="D52" i="2"/>
  <c r="D48" i="2"/>
  <c r="D44" i="2"/>
  <c r="D40" i="2"/>
  <c r="D36" i="2"/>
  <c r="D32" i="2"/>
  <c r="D28" i="2"/>
  <c r="D24" i="2"/>
  <c r="D20" i="2"/>
  <c r="D16" i="2"/>
  <c r="D12" i="2"/>
  <c r="D8" i="2"/>
  <c r="F46" i="2"/>
  <c r="F48" i="2"/>
  <c r="F52" i="2"/>
  <c r="B49" i="2"/>
  <c r="B45" i="2"/>
  <c r="B41" i="2"/>
  <c r="B37" i="2"/>
  <c r="B33" i="2"/>
  <c r="B29" i="2"/>
  <c r="B25" i="2"/>
  <c r="B21" i="2"/>
  <c r="B17" i="2"/>
  <c r="B13" i="2"/>
  <c r="B5" i="2"/>
  <c r="F3" i="2"/>
  <c r="B9" i="2"/>
  <c r="D3" i="2"/>
  <c r="C49" i="2"/>
  <c r="C45" i="2"/>
  <c r="C37" i="2"/>
  <c r="C33" i="2"/>
  <c r="C29" i="2"/>
  <c r="C25" i="2"/>
  <c r="C21" i="2"/>
  <c r="C17" i="2"/>
  <c r="C9" i="2"/>
  <c r="C5" i="2"/>
  <c r="D49" i="2"/>
  <c r="D45" i="2"/>
  <c r="D41" i="2"/>
  <c r="D37" i="2"/>
  <c r="D33" i="2"/>
  <c r="D29" i="2"/>
  <c r="D25" i="2"/>
  <c r="D21" i="2"/>
  <c r="D17" i="2"/>
  <c r="D13" i="2"/>
  <c r="D9" i="2"/>
  <c r="D5" i="2"/>
  <c r="B52" i="2"/>
  <c r="B48" i="2"/>
  <c r="B44" i="2"/>
  <c r="B40" i="2"/>
  <c r="B36" i="2"/>
  <c r="B32" i="2"/>
  <c r="B28" i="2"/>
  <c r="B24" i="2"/>
  <c r="B20" i="2"/>
  <c r="C13" i="2"/>
  <c r="B18" i="2"/>
  <c r="F5" i="2"/>
  <c r="F9" i="2"/>
  <c r="F19" i="2"/>
  <c r="F21" i="2"/>
  <c r="F23" i="2"/>
  <c r="F25" i="2"/>
  <c r="F27" i="2"/>
  <c r="F29" i="2"/>
  <c r="F33" i="2"/>
  <c r="F35" i="2"/>
  <c r="F37" i="2"/>
  <c r="F39" i="2"/>
  <c r="F41" i="2"/>
  <c r="F51" i="2"/>
  <c r="C51" i="2"/>
  <c r="C47" i="2"/>
  <c r="C39" i="2"/>
  <c r="C35" i="2"/>
  <c r="C31" i="2"/>
  <c r="C27" i="2"/>
  <c r="C23" i="2"/>
  <c r="C19" i="2"/>
  <c r="C15" i="2"/>
  <c r="C11" i="2"/>
  <c r="C7" i="2"/>
  <c r="C3" i="2"/>
  <c r="D51" i="2"/>
  <c r="D39" i="2"/>
  <c r="D35" i="2"/>
  <c r="D31" i="2"/>
  <c r="D27" i="2"/>
  <c r="D23" i="2"/>
  <c r="D19" i="2"/>
  <c r="D15" i="2"/>
  <c r="D11" i="2"/>
  <c r="D7" i="2"/>
  <c r="B50" i="2"/>
  <c r="B46" i="2"/>
  <c r="B42" i="2"/>
  <c r="B38" i="2"/>
  <c r="B34" i="2"/>
  <c r="B30" i="2"/>
  <c r="B26" i="2"/>
  <c r="B22" i="2"/>
  <c r="B14" i="2"/>
  <c r="B10" i="2"/>
  <c r="B6" i="2"/>
  <c r="B2" i="2"/>
  <c r="D47" i="2"/>
  <c r="C41" i="2"/>
  <c r="F2" i="2"/>
  <c r="F16" i="2"/>
  <c r="F18" i="2"/>
  <c r="F24" i="2"/>
  <c r="F26" i="2"/>
  <c r="C4" i="2"/>
  <c r="F45" i="2"/>
  <c r="F47" i="2"/>
  <c r="F49" i="2"/>
  <c r="F17" i="2"/>
  <c r="F7" i="2"/>
  <c r="F13" i="2"/>
  <c r="F40" i="2"/>
  <c r="F10" i="2"/>
  <c r="D43" i="2"/>
  <c r="F36" i="2"/>
  <c r="F32" i="2"/>
  <c r="D2" i="2"/>
  <c r="F11" i="2"/>
  <c r="F34" i="2"/>
  <c r="F50" i="2"/>
  <c r="F31" i="2"/>
  <c r="F15" i="2"/>
  <c r="F43" i="2"/>
  <c r="G47" i="2" l="1"/>
  <c r="G28" i="2"/>
  <c r="G32" i="2"/>
  <c r="G12" i="2"/>
  <c r="G19" i="2"/>
  <c r="G51" i="2"/>
  <c r="G22" i="2"/>
  <c r="G39" i="2"/>
  <c r="G29" i="2"/>
  <c r="G44" i="2"/>
  <c r="G7" i="2"/>
  <c r="G23" i="2"/>
  <c r="G6" i="2"/>
  <c r="G49" i="2"/>
  <c r="G14" i="2"/>
  <c r="G33" i="2"/>
  <c r="G10" i="2"/>
  <c r="G20" i="2"/>
  <c r="G35" i="2"/>
  <c r="G52" i="2"/>
  <c r="G30" i="2"/>
  <c r="G37" i="2"/>
  <c r="G25" i="2"/>
  <c r="G16" i="2"/>
  <c r="G41" i="2"/>
  <c r="G48" i="2"/>
  <c r="G26" i="2"/>
  <c r="G43" i="2"/>
  <c r="G38" i="2"/>
  <c r="G5" i="2"/>
  <c r="G21" i="2"/>
  <c r="G40" i="2"/>
  <c r="G45" i="2"/>
  <c r="G18" i="2"/>
  <c r="G17" i="2"/>
  <c r="G34" i="2"/>
  <c r="G3" i="2"/>
  <c r="G2" i="2"/>
  <c r="G27" i="2"/>
  <c r="G46" i="2"/>
  <c r="G36" i="2"/>
  <c r="G42" i="2"/>
  <c r="G31" i="2"/>
  <c r="G15" i="2"/>
  <c r="G24" i="2"/>
  <c r="G13" i="2"/>
  <c r="G8" i="2"/>
  <c r="G11" i="2"/>
  <c r="G50" i="2"/>
  <c r="G53" i="2" l="1"/>
  <c r="H53" i="2"/>
</calcChain>
</file>

<file path=xl/sharedStrings.xml><?xml version="1.0" encoding="utf-8"?>
<sst xmlns="http://schemas.openxmlformats.org/spreadsheetml/2006/main" count="473" uniqueCount="245">
  <si>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</si>
  <si>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</si>
  <si>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</si>
  <si>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</si>
  <si>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</si>
  <si>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</si>
  <si>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</si>
  <si>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</si>
  <si>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</si>
  <si>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</si>
  <si>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CUSTO + 30%</t>
  </si>
  <si>
    <t>PERCENTUAL MÍNIMO</t>
  </si>
  <si>
    <t>VALOR MÍNIMO</t>
  </si>
  <si>
    <t>LANCE ATUAL</t>
  </si>
  <si>
    <t>POSIÇÃO</t>
  </si>
  <si>
    <t>Item</t>
  </si>
  <si>
    <t>Descrição</t>
  </si>
  <si>
    <t>ACETATO DE RETINOL 10.000 + AMINOÁCIDOS 2,5% + METIONINA 0,5% + CLORANFENICOL 0,5% POMADA AFTÁLMICA</t>
  </si>
  <si>
    <t>ACETILCISTEÍNA 600 MG ENVELOPE 5G</t>
  </si>
  <si>
    <t>ÁCIDO ACETILSALICÍLICO 100MG CAMP</t>
  </si>
  <si>
    <t>ÁCIDO ASCÓRBICO 100MG/MLIV/IM 5ML SOLUÇÃO INJETÁVEL</t>
  </si>
  <si>
    <t>ACIDO TRANEXAMICO 50MG/ML 5ML</t>
  </si>
  <si>
    <t>ADRENALINA 1MG/ML (HEMITARTARATO DE EPINEFRINA) 1ML</t>
  </si>
  <si>
    <t>AGUA DESTILADA PARA INJECAO 10ML</t>
  </si>
  <si>
    <t>AMICACINA 100MG AMPOLA 2ML</t>
  </si>
  <si>
    <t>AMINOFILINA 24MG 10ML</t>
  </si>
  <si>
    <t>AMOXICILINA + CLAV. DE POTASSIO 250MG/62,5MG 75ML</t>
  </si>
  <si>
    <t>AMOXICILINA+CLAVULANATO 500MG+125MG CAPSULA</t>
  </si>
  <si>
    <t>AMPICILINA SÓDICA + SULBACTAM 1G + 0,5G FRASCO-AMPOLA</t>
  </si>
  <si>
    <t>AMPICILINA 1 GR IM/IV</t>
  </si>
  <si>
    <t>AMPICILINA 500MG IM/IV</t>
  </si>
  <si>
    <t>ANLODIPINO 5MG - EMBALAGEM FRACIONÁVEL</t>
  </si>
  <si>
    <t>ATENOLOL 50 MG.EMBALAGEM FRACIONÁVEL</t>
  </si>
  <si>
    <t>AZITROMICINA 500 MG COMPRIMIDO</t>
  </si>
  <si>
    <t>AZITROMICINA 200MG/ 5ML 15 ML FRASCO</t>
  </si>
  <si>
    <t>BENZILPENICILINA BENZATINA 600.000 UI</t>
  </si>
  <si>
    <t>BENZILPENICILINA BENZATINA 1.200.000 UI</t>
  </si>
  <si>
    <t>BENZILPENICILINA PROCAINA+POTASSICA 400.000 UI (DESPACILINA)</t>
  </si>
  <si>
    <t>BICARBONATO DE SODIO 8,4% 10 ML</t>
  </si>
  <si>
    <t>BROMETO DE IPRATROPIO 20 ML</t>
  </si>
  <si>
    <t>BROMIDRATO DE FENOTEROL 20ML</t>
  </si>
  <si>
    <t>BUTILBROMETO DE ESCOPOLAMINA 20MG/ML 1ML</t>
  </si>
  <si>
    <t>BUTILBROMETO DE ESCOPOLAMINA 4MG/ML + DIPIRONA SÓDICA 500MG/ML 5ML</t>
  </si>
  <si>
    <t>CAPTOPRIL 25MG COMP. EMBALAGEM FRACIONÁVEL</t>
  </si>
  <si>
    <t>CARVÃO ATIVADO PACOTE DE 200 GRAMAS</t>
  </si>
  <si>
    <t>CARVEDILOL 3,125 MG EMBALAGEM FRACIONÁVEL</t>
  </si>
  <si>
    <t>CARVEDILOL 12,5 MG EMBALAGEM FRACIONÁVEL</t>
  </si>
  <si>
    <t>CEDILANIDE 0,2MG/ML (DESLANOSIDEO) 2ML</t>
  </si>
  <si>
    <t>CEFALEXINA 500MG CÁPSULA</t>
  </si>
  <si>
    <t>CEFALEXINA 250MG/5ML/60ML</t>
  </si>
  <si>
    <t>CEFALOTINA 1G IM/IV</t>
  </si>
  <si>
    <t>CEFEPIMA 1G PÓ P/ SOLUÇÃO INJETÁVEL</t>
  </si>
  <si>
    <t>CEFTRIAXONA 1G IV</t>
  </si>
  <si>
    <t>CEFTRIAXONA 1G IM</t>
  </si>
  <si>
    <t>CINARIZINA 75MG COMPRIMIDO EMBALAGEM FRACIONAVEL</t>
  </si>
  <si>
    <t>CINARIZINA 25MG COMP CX C/ 30 COMPRIMIDOS</t>
  </si>
  <si>
    <t>CIMETIDINA 150 MG/ML INJETAVEL 2 ML</t>
  </si>
  <si>
    <t>CIPROFLOXACINO 500MG CPR</t>
  </si>
  <si>
    <t>CIPROFLOXACINO FR 200MG 100ML</t>
  </si>
  <si>
    <t>CITRATO DE FENTANILA 50MCG/ML SOL. INJÉTÁVEL EPIDURAL IM/IV 5ML</t>
  </si>
  <si>
    <t>CITRATO DE FENTANILA 78,5 MCG/ML USO EPIDURAL/EV/IM SOL. INJETÁVEL 2ML</t>
  </si>
  <si>
    <t>CLOPIDROGEL 75MG COMPRIMIDO</t>
  </si>
  <si>
    <t>CLORETO DE SÓDIO 20% 10ML</t>
  </si>
  <si>
    <t>CLORETO DE POTÁSSIO 19,1% 10 ML</t>
  </si>
  <si>
    <t>CLORIDRATO DE AMBROXOL 15 MG/5ML 120 ML</t>
  </si>
  <si>
    <t>CLORIDRATO DE AMIODARONA 50 MG/ML 3ML</t>
  </si>
  <si>
    <t>CLORIDRATO DE AMIODARONA 200MG COMP. EMBALAGEM FRACIONÁVEL</t>
  </si>
  <si>
    <t>CLORIDRATO DE BUPIVACAÍNA 0,5% PESADA + GLICOSE 8% HIBERBÁRICA 4ML</t>
  </si>
  <si>
    <t>CLORIDRATO DE CLORPROMAZINA 25 MG/5ML</t>
  </si>
  <si>
    <t>CLORIDRATO DE DEXTROCETAMINA 50MG/ML 2ML</t>
  </si>
  <si>
    <t>CLORIDRATO DE DOPAMINA 50MG 10 ML</t>
  </si>
  <si>
    <t>CLORIDRATO DE ETILEFRINA 10MG/AMP 1ML</t>
  </si>
  <si>
    <t>CLORIDRATO DE LIDOCAÍNA 2%GELÉIA 30G</t>
  </si>
  <si>
    <t>CLORIDRATO DE LIDOCAÍNA 2% SEM ADRENALINA 20 ML</t>
  </si>
  <si>
    <t>CLORIDRATO DE LIDOCAÍNA 2% COM ADRENALINA 20 ML</t>
  </si>
  <si>
    <t>CLORIDRATO DE LIDOCAÍNA 2% SEM ADRENALINA AMPOLA 5ML</t>
  </si>
  <si>
    <t>CLORIDRATO DE METOCLOPAMIDA 10 MG/2ML 2ML</t>
  </si>
  <si>
    <t>CLORIDRATO DE PETIDINA 50 MG/ML 2ML</t>
  </si>
  <si>
    <t>CLORIDRATO DE PROMETAZINA 50 MG 2ML</t>
  </si>
  <si>
    <t>COMPLEXO B + ÁCIDO ASCÓRBICO + FRUTOSE SOLUÇÃO INJETÁVEL EV CONTÉM1 AMPOLA A DE 10ML E 1 AMPOLA B DE 10ML</t>
  </si>
  <si>
    <t>CURATIVO ALGINATO DE CÁLCIO E SÓDIO 10CM X 10CM</t>
  </si>
  <si>
    <t>DEXAMETAXONA 4MG/ML 2,5ML</t>
  </si>
  <si>
    <t>DEXCLORFENIRAMINA 2MG COMPRIMIDO</t>
  </si>
  <si>
    <t>DEXCLORFENIRAMINA 2MG/5ML-100ML</t>
  </si>
  <si>
    <t>DIAZEPAM AMPOLA 5MG/ML 2ML</t>
  </si>
  <si>
    <t>DIAZEPAM 10 MG COMP. EMBALAGEM FRACIONÁVEL</t>
  </si>
  <si>
    <t>DICLOFENACO DE SÓDIO 25MG/ML 3ML</t>
  </si>
  <si>
    <t>DIGOXINA 0,25 COMP. EMBALAGEM FRACIONÁVEL</t>
  </si>
  <si>
    <t>DIMENIDRINATO 30 MG + PIRIDOXINA 50 MG INJ. + GLICOSE 1000 MG + FRUTOSE 1000 MG ENDOVENOSO 10 ML</t>
  </si>
  <si>
    <t>DINITRATO DE ISOSSORBIDA SUBLINGUAL 5 MG</t>
  </si>
  <si>
    <t>DIPIRONA SÓDICA 1G/2ML</t>
  </si>
  <si>
    <t>DIPIRONA GOTAS 10 ML</t>
  </si>
  <si>
    <t>DOBUTAMINA 12,5 MG/ML 20ML</t>
  </si>
  <si>
    <t>EFEDRINA 50 MG/ML AMPOLA 1ML</t>
  </si>
  <si>
    <t>ENALAPRIL 20MG COMP. EMBALAGEM FRACIONÁVEL</t>
  </si>
  <si>
    <t>ENOXAPARINA SÓDICA 80MG/0,8ML SOL. INJETÁVEL VIA SUBCUTÂNEA/ IV</t>
  </si>
  <si>
    <t>ENOXAPARINA SODICA 60MG/0,6 ML SOLUCAO INJETAVEL USO SUBCUTANEO/INTRAVENOSO COM 2 SERINGAS PRE-ENCHIDAS COM 0,6 ML</t>
  </si>
  <si>
    <t>ENOXAPARINA SÓDICA 40MG/0,4ML SOL. INJETÁVEL VIA SUBCUTÂNEA/ IV</t>
  </si>
  <si>
    <t>ESPIRONALACTONA 100 MG EMBALAGEM FRACIONÁVEL</t>
  </si>
  <si>
    <t>ESPIRONALACTONA 25MG EMBALAGEM FRACIONÁVEL</t>
  </si>
  <si>
    <t>AMOXICILINA+CLAVULANATO 500MG+100MG PÓ PARA SOLUÇÃO INJETAVEL INTRAVENOSO</t>
  </si>
  <si>
    <t>FENITOÍNA SÓDICA 50MG/ML 5ML</t>
  </si>
  <si>
    <t>FENITOÍNA 100MG COMP. EMBALAGEM FRACIONÁVEL</t>
  </si>
  <si>
    <t>FENOBARBITAL SÓDICO 100MG/ML 2ML</t>
  </si>
  <si>
    <t>FENOBARBITAL 100MG COMP. EMBALAGEM FRACIONÁVEL</t>
  </si>
  <si>
    <t>FITOMENADIONA 2MG 0,2ML IM/EV.</t>
  </si>
  <si>
    <t>FOSFATO SÓDICO MONOBÁSICO + FOSFATO SÓDICO DIBÁSICO 130 ML</t>
  </si>
  <si>
    <t>FOSFATO DE CLINDAMICINA 150 MG/ML 4ML USO IV/IM INJETAVEL</t>
  </si>
  <si>
    <t>FLUMAZENIL 0,5MG/5ML</t>
  </si>
  <si>
    <t>FUROSEMIDA 20MG.2ML</t>
  </si>
  <si>
    <t>FUROSEMIDA 40MG COMP.</t>
  </si>
  <si>
    <t>GENTAMICINA 80MG/ML</t>
  </si>
  <si>
    <t>GLIBENCLAMIDA 5MG COMP. EMBALAGEM FRACIONÁVEL</t>
  </si>
  <si>
    <t>GLICERINA 12% BOLSA PLÁSTICA DE 500ML + SONDA</t>
  </si>
  <si>
    <t>GLICOSE 25% 10ML</t>
  </si>
  <si>
    <t>GLICOSE 50% 10ML</t>
  </si>
  <si>
    <t>GLUCONATO DE CÁLCIO 10¨%</t>
  </si>
  <si>
    <t>HALOPERIDOL 5MG/ML 1ML</t>
  </si>
  <si>
    <t>HEPARINA SÓDICA SUBCUTÂNEA 5000 UI/0,25ML</t>
  </si>
  <si>
    <t>HEPARINA SÓDICA 500UI/ML 5ML</t>
  </si>
  <si>
    <t>HIDRALAZINA 20MG</t>
  </si>
  <si>
    <t>HIDROCLOROTIAZIDA 25 MG COMP.EMBALAGEM FRACIONAVEL</t>
  </si>
  <si>
    <t>HIDROCORTISONA 100 MG</t>
  </si>
  <si>
    <t>HIDROCORTISONA 500MG</t>
  </si>
  <si>
    <t>IMUNOGLOBULINA HUMANA ANTI RH D 2ML</t>
  </si>
  <si>
    <t>ISULINA REGULAR 100 UI/ML</t>
  </si>
  <si>
    <t>INSULINA NPH 100UI/ML 10 ML</t>
  </si>
  <si>
    <t>HIDRALAZINA 25MG COMPRIDO</t>
  </si>
  <si>
    <t>IVERMECTINA 4MG COMPRIMIDO</t>
  </si>
  <si>
    <t>LEVOFLOXACINO 500MG COMPRIMIDO</t>
  </si>
  <si>
    <t>LEVOFLOXACINO 500MG 100 ML</t>
  </si>
  <si>
    <t>LIDOCAÍNA 10%¨SPRAY 50 ML</t>
  </si>
  <si>
    <t>LOÇÃO OLEOSA À BASE DE A.G.E (ÁCIDOS GRAXOS ESSENCIAIS) COM VITAMINAS A e E (DERSANI)</t>
  </si>
  <si>
    <t>MALEATO DE ERGOMETRINA 0,2MG/ML</t>
  </si>
  <si>
    <t>MANITOL 20% 250ML</t>
  </si>
  <si>
    <t>METARAMINOL 10MG/ML AMPOLA 1ML</t>
  </si>
  <si>
    <t>METFORMINA 850MG COMP. EMBALAGEM FRACIONÁVEL</t>
  </si>
  <si>
    <t>METILDOPA 500MG COMP. EMBALAGEM FRACIONÁVEL</t>
  </si>
  <si>
    <t>METRONIDAZOL 5MG/ML 100ML INJETÁVEL BOLSA</t>
  </si>
  <si>
    <t>METRONIDAZOL 250 MG COMP.</t>
  </si>
  <si>
    <t>MIDAZOLAM 1MG/ML 5ML.</t>
  </si>
  <si>
    <t>MIDAZOLAM 15 MG/3ML</t>
  </si>
  <si>
    <t>MIDAZOLAM 5MG/ML 10ML</t>
  </si>
  <si>
    <t>NALOXONA 0,4MG/ML</t>
  </si>
  <si>
    <t>NEOSTIGMA 0,5MG/ML AMPOLA 1ML</t>
  </si>
  <si>
    <t>NIFEDIPINO RETARD 20MG</t>
  </si>
  <si>
    <t>NITROGLICERINA 5MG/ML SOL. INJETÁVEL 10ML</t>
  </si>
  <si>
    <t>NITROPRUSSETO DE SÓDIO 25ML/ML SOL. INJETÁVEL 2ML</t>
  </si>
  <si>
    <t>NOREPINEFRINA 4MG/4ML INJETÁVEL</t>
  </si>
  <si>
    <t>OMEPRAZOL 40 MG INJETAVEL</t>
  </si>
  <si>
    <t>OMEPRAZOL 20MG CPS</t>
  </si>
  <si>
    <t>ONDANSETRONA 8MG AMPOLAS 4ML</t>
  </si>
  <si>
    <t>OSELTAMIVIR 75MG</t>
  </si>
  <si>
    <t>OXACILINA 500 MG PÓ P/ SOLUÇÃO INJETÁVEL</t>
  </si>
  <si>
    <t>OXITOCINA 5UI/ML</t>
  </si>
  <si>
    <t>PARACETAMOL 200MG C/ 15ML</t>
  </si>
  <si>
    <t>PARACETAMOL 500 ML COMP. EMBALAGEM FRACIONÁVEL</t>
  </si>
  <si>
    <t>PIPERACILINA + TAZOBACTAM 4G + 500MG INJETÁVEL FRASCO AMPOLA</t>
  </si>
  <si>
    <t>POLIVITAMÍNICO COMPLEXO B 2ML</t>
  </si>
  <si>
    <t>POMADA COLAGENASE + CLORANFENICOL 30 GR</t>
  </si>
  <si>
    <t>POMADA NEOMICINA + BACITRACINA 10 G</t>
  </si>
  <si>
    <t>POMADA SULFADIAZINA DE PRATA 1% BISNAGA 50G</t>
  </si>
  <si>
    <t>PREDNISOLONA 1MG/ML 100 ML SOLUÇÃO ORAL</t>
  </si>
  <si>
    <t>PREDNISONA 20 MG COMP. EMBALAGEM FRACIONAVEL</t>
  </si>
  <si>
    <t>PROPOFOL 1% AMP. 10MG/ML 20ML</t>
  </si>
  <si>
    <t>PROPRANOLOL 40 MG COMP. EMBALAGEM FRACIONÁVEL</t>
  </si>
  <si>
    <t>REIDRATANTE ORAL 27,9G</t>
  </si>
  <si>
    <t>SALBUTAMOL 0,4MG/ML SOLUÇÃO ORAL 120ML</t>
  </si>
  <si>
    <t>SEVOFLURANO FRASCO 250ML</t>
  </si>
  <si>
    <t>SIMETICONA 75MG/ML 10ML</t>
  </si>
  <si>
    <t>SORO GLISOFIOLÓGICO 500ML SISTEMA FECHADO</t>
  </si>
  <si>
    <t>SORO FISIOLÓGICO 0,9% 100ML SISTEMA FECHADO</t>
  </si>
  <si>
    <t>SORO FISIOLÓGICO 0,9% 250ML SISTEMA FECHADO</t>
  </si>
  <si>
    <t>SORO FISIOLÓGICO 0,9% 500ML SISTEMA FECHADO</t>
  </si>
  <si>
    <t>SORO FISIOLÓGICO 0,9% 1000ML SISTEMA FECHADO</t>
  </si>
  <si>
    <t>SORO GLICOSADO 5% 500 ML SISTEMA FECHADO</t>
  </si>
  <si>
    <t>SINVASTATINA 40 MG CPR</t>
  </si>
  <si>
    <t>SORO FISIOLÓGICO 0,9 10 ML</t>
  </si>
  <si>
    <t>SORO RINGER COM LACTADO 500ML SISTEMA FECHADO</t>
  </si>
  <si>
    <t>SULFATO DE ATROPINA 0,250 MG/ML</t>
  </si>
  <si>
    <t>SULFATO DE MAGNÉSIO 50% 10ML</t>
  </si>
  <si>
    <t>SULFATO DE MORFINA 0,1 MG/ML</t>
  </si>
  <si>
    <t>SULFATO DE MORFINA 1,0 MG AMPOLA 1ML</t>
  </si>
  <si>
    <t>SULFATO DE MORFINA 10MG/1ML</t>
  </si>
  <si>
    <t>SULFATO DE SALBUTAMOL 0,5 MG/ML 1ML</t>
  </si>
  <si>
    <t>SULFATO DE SALBUTAMOL 100MCG/DOSE AEROSOL 200 DOSES</t>
  </si>
  <si>
    <t>SUXAMETÔNIO 100MG FRASCO</t>
  </si>
  <si>
    <t>TENOXICAN 20 MG FR/AP</t>
  </si>
  <si>
    <t>TIAMINA 100 MG/ML 1ML</t>
  </si>
  <si>
    <t>TRAMANDOL 50 MG/ML AMPOLA 2ML</t>
  </si>
  <si>
    <t>HIDRALAZINA 50MG COMPRIMIDO</t>
  </si>
  <si>
    <t>TARTARATO DE METOPROLOL 5MG (1MG/ML) SOL. INJETÁVEL IV 5ML</t>
  </si>
  <si>
    <t>CLORIDRATO DE TETRACAÍNA 1% + CL. DE FENILEFRINA 0,1% SOL. OFTALMICA</t>
  </si>
  <si>
    <t>ADENOSINA 3MG/ML 2ML</t>
  </si>
  <si>
    <t>CURATIVO DE CARVAO ATIVADO COM PRATA 10,5 X 10,5</t>
  </si>
  <si>
    <t>CURATIVO GEL COM PHMB 100ML</t>
  </si>
  <si>
    <t>SORO GLICOSADO 5% 250ML SISTEMA FECHADO</t>
  </si>
  <si>
    <t>DIPIRONA SÓDICA 500 MILIGRAMAS/MILILITRO, SOLUÇÃO INJETÁVEL, AMPOLA COM 02 ML</t>
  </si>
  <si>
    <t>ATRACURIO 50MG 2,5ML</t>
  </si>
  <si>
    <t>AMOXICILINA+CLAVULANATO 1G+200MG PÓ PARA SOLUÇÃO INJETAVEL INTRAVENOSO</t>
  </si>
  <si>
    <t>FUMARATO DE FORMOTEROL+BUDESONIDA 6/200 DOSES 8ML AEROSSOL</t>
  </si>
  <si>
    <t>SULFATO DE SALBUTAMOL SOLUÇÃO PARA NEBULIZAÇÃO 10ML</t>
  </si>
  <si>
    <t>CLORETO DE POTASSIO 60MG/ML USO ORAL 100ML</t>
  </si>
  <si>
    <t>CLONIDINA 0,100MG COMPRIMIDO</t>
  </si>
  <si>
    <t>CLONIDINA 0,150MG COMPRIDO</t>
  </si>
  <si>
    <t>CLORIDRATO DE CLONIDINA 150MCG/ML SOL INJETAVEL 1ML</t>
  </si>
  <si>
    <t>CETOPROFENO 100MG INJETAVEL INTRAVENOSO</t>
  </si>
  <si>
    <t>BECLOMETASONA SPRAY 250MCG 200 DOSES</t>
  </si>
  <si>
    <t>BECLOMETRASONA SPRAY 50MCG 200 DOSES</t>
  </si>
  <si>
    <t>ONDANSETRONA 4MG COMP</t>
  </si>
  <si>
    <t>CEFTRIAXONA 1G IM/IV</t>
  </si>
  <si>
    <t>LORATADINA 10MG CPR</t>
  </si>
  <si>
    <t>LORATADINA XAROPE 1MG/ML (100ML)</t>
  </si>
  <si>
    <t>CITRATO DE FENTANILA 0,05MG/ML 10ML</t>
  </si>
  <si>
    <t>Unid.</t>
  </si>
  <si>
    <t>TUBO</t>
  </si>
  <si>
    <t>UNIDADE</t>
  </si>
  <si>
    <t>COMPRIMIDO</t>
  </si>
  <si>
    <t>AMPOLA</t>
  </si>
  <si>
    <t>FRASCO</t>
  </si>
  <si>
    <t>CÁPSULA</t>
  </si>
  <si>
    <t>FRASCO AMPOLA</t>
  </si>
  <si>
    <t>PACOTE</t>
  </si>
  <si>
    <t>CAIXA</t>
  </si>
  <si>
    <t>CARTELA</t>
  </si>
  <si>
    <t>BOLSA</t>
  </si>
  <si>
    <t>Quant.</t>
  </si>
  <si>
    <t>Cristália</t>
  </si>
  <si>
    <t>Teuto</t>
  </si>
  <si>
    <t>EMS</t>
  </si>
  <si>
    <t>Belfar</t>
  </si>
  <si>
    <t>Nativita</t>
  </si>
  <si>
    <t>Farmace</t>
  </si>
  <si>
    <t>Hipolabor</t>
  </si>
  <si>
    <t>Hypofarma</t>
  </si>
  <si>
    <t>Isofarma</t>
  </si>
  <si>
    <t>Sanval</t>
  </si>
  <si>
    <t>Takeda</t>
  </si>
  <si>
    <t>Mylan</t>
  </si>
  <si>
    <t>Blau</t>
  </si>
  <si>
    <t>Halex Istar</t>
  </si>
  <si>
    <t>JP</t>
  </si>
  <si>
    <t>União Química</t>
  </si>
  <si>
    <t>Eurofarma</t>
  </si>
  <si>
    <t>VALOR TOTAL DO 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</si>
</sst>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44" fontId="0" fillId="0" borderId="1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0" fillId="0" borderId="1" xfId="1" applyNumberFormat="1" applyFont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6">
    <dxf>
      <numFmt numFmtId="34" formatCode="_-&quot;R$&quot;\ * #,##0.00_-;\-&quot;R$&quot;\ * #,##0.00_-;_-&quot;R$&quot;\ * &quot;-&quot;??_-;_-@_-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ont>
        <b val="0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0.xml"/><Relationship Id="rId5" Type="http://schemas.openxmlformats.org/officeDocument/2006/relationships/styles" Target="styles.xml"/><Relationship Id="rId10" Type="http://schemas.microsoft.com/office/2017/10/relationships/person" Target="persons/person1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M52" headerRowDxfId="45" dataDxfId="43" headerRowBorderDxfId="44" tableBorderDxfId="42" totalsRowBorderDxfId="41">
  <autoFilter ref="A1:M52" xr:uid="{0F1C68C0-8F04-4F32-8E6D-C50711AF0188}"/>
  <tableColumns count="13">
    <tableColumn id="1" xr3:uid="{51CFE57C-AFCD-46C7-A72C-4E116E9357EE}" name="ITEM" totalsRowLabel="Total" dataDxfId="40"/>
    <tableColumn id="2" xr3:uid="{E7B80085-C079-4ECA-B98E-E82F5E46696A}" name="DESCRIÇÃO" dataDxfId="39">
      <calculatedColumnFormula>VLOOKUP(TabelaPrincipal[[#This Row],[ITEM]],TabelaModelo,2,FALSE)</calculatedColumnFormula>
    </tableColumn>
    <tableColumn id="3" xr3:uid="{74DD09F8-5DE7-492D-ABF9-CC0D01F7D44D}" name="UND" dataDxfId="3">
      <calculatedColumnFormula>VLOOKUP(TabelaPrincipal[[#This Row],[ITEM]],TabelaModelo,3,FALSE)</calculatedColumnFormula>
    </tableColumn>
    <tableColumn id="11" xr3:uid="{97D0E2D1-B394-4896-88CE-44729C7F3605}" name="QTD" dataDxfId="4">
      <calculatedColumnFormula>VLOOKUP(TabelaPrincipal[[#This Row],[ITEM]],TabelaModelo,4,FALSE)</calculatedColumnFormula>
    </tableColumn>
    <tableColumn id="5" xr3:uid="{888FDB53-36CC-46AE-AFEA-75AF1F77389D}" name="MARCA" dataDxfId="38"/>
    <tableColumn id="6" xr3:uid="{E7330FE1-ADA8-42A4-B3C8-35EEACF8E856}" name="VALOR DE CUSTO" dataDxfId="37" dataCellStyle="Moeda"/>
    <tableColumn id="7" xr3:uid="{03389115-425F-4153-AA8F-FD518F675069}" name="CUSTO + 30%" dataDxfId="36" totalsRowDxfId="35" dataCellStyle="Moeda"/>
    <tableColumn id="8" xr3:uid="{532B9320-507F-43A8-833D-2CFD5BDC3030}" name="VALOR TOTAL" dataDxfId="34" totalsRowDxfId="33" dataCellStyle="Moeda">
      <calculatedColumnFormula>D2*G2</calculatedColumnFormula>
    </tableColumn>
    <tableColumn id="12" xr3:uid="{47060763-EEF9-4198-9C8A-B2079FE74328}" name="PERCENTUAL MÍNIMO" dataDxfId="32" totalsRowDxfId="31"/>
    <tableColumn id="13" xr3:uid="{8FA6F66F-B93C-4DF5-A099-D33323ED11B8}" name="VALOR MÍNIMO" totalsRowFunction="sum" dataDxfId="30" totalsRowDxfId="29">
      <calculatedColumnFormula>ROUND(F2+(F2*TabelaPrincipal[[#This Row],[PERCENTUAL MÍNIMO]]), 2)</calculatedColumnFormula>
    </tableColumn>
    <tableColumn id="9" xr3:uid="{9D0B07B5-0269-49DC-A3EC-C170D6496473}" name="LANCE ATUAL" dataDxfId="28" dataCellStyle="Moeda"/>
    <tableColumn id="10" xr3:uid="{2B3A16CA-ACFA-4765-8367-A064C061C94F}" name="POSIÇÃO" dataDxfId="27" dataCellStyle="Moeda"/>
    <tableColumn id="14" xr3:uid="{97CC4B2F-7C81-46B2-8407-8FF9A14E64E6}" name="VALOR TOTAL DO LANCE" dataDxfId="0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53" totalsRowCount="1" headerRowDxfId="26" dataDxfId="24" totalsRowDxfId="22" headerRowBorderDxfId="25" tableBorderDxfId="23" totalsRowBorderDxfId="21">
  <autoFilter ref="A1:H52" xr:uid="{2CFAA1B4-814E-4223-B7E6-683C9654D63D}"/>
  <sortState xmlns:xlrd2="http://schemas.microsoft.com/office/spreadsheetml/2017/richdata2" ref="A2:H52">
    <sortCondition descending="1" ref="G1:G52"/>
  </sortState>
  <tableColumns count="8">
    <tableColumn id="1" xr3:uid="{4C2A8540-55DA-471A-8023-1DC82AFF521D}" name="ITEM" totalsRowLabel="Total" dataDxfId="20" totalsRowDxfId="19">
      <calculatedColumnFormula>TabelaPrincipal[[#This Row],[ITEM]]</calculatedColumnFormula>
    </tableColumn>
    <tableColumn id="2" xr3:uid="{F915D416-2888-4C08-B603-DD427B80EC39}" name="DESCRIÇÃO" dataDxfId="18" totalsRowDxfId="17">
      <calculatedColumnFormula>TabelaPrincipal[[#This Row],[DESCRIÇÃO]]</calculatedColumnFormula>
    </tableColumn>
    <tableColumn id="3" xr3:uid="{49DB4880-9F6A-4C83-B06A-2BE3AF89B478}" name="QTD" dataDxfId="16" totalsRowDxfId="15">
      <calculatedColumnFormula>TabelaPrincipal[[#This Row],[UND]]</calculatedColumnFormula>
    </tableColumn>
    <tableColumn id="4" xr3:uid="{88402F2B-2E49-4C7B-B78B-F865BFB0E1DD}" name="UND" dataDxfId="14" totalsRowDxfId="13">
      <calculatedColumnFormula>#REF!</calculatedColumnFormula>
    </tableColumn>
    <tableColumn id="5" xr3:uid="{3DB67E5A-8A24-45E8-8217-4846CFFF15A4}" name="MARCA" dataDxfId="12" totalsRowDxfId="11">
      <calculatedColumnFormula>TabelaPrincipal[[#This Row],[MARCA]]</calculatedColumnFormula>
    </tableColumn>
    <tableColumn id="6" xr3:uid="{B69EC1DE-FD02-4E24-9A4E-2413AAC85E68}" name="VALOR UNITÁRIO" dataDxfId="10" totalsRowDxfId="9">
      <calculatedColumnFormula>TabelaPrincipal[[#This Row],[CUSTO + 30%]]</calculatedColumnFormula>
    </tableColumn>
    <tableColumn id="7" xr3:uid="{AB54B16F-01C8-42F8-BA21-D18026C5F589}" name="VALOR TOTAL" totalsRowFunction="sum" dataDxfId="8" totalsRowDxfId="7">
      <calculatedColumnFormula>TabelaPrincipal[[#This Row],[VALOR TOTAL]]</calculatedColumnFormula>
    </tableColumn>
    <tableColumn id="8" xr3:uid="{937D679C-928B-4903-8AF2-2ECD36984D55}" name="TOTAL POR EXTENSO" totalsRowFunction="custom" dataDxfId="6" totalsRowDxfId="5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52"/>
  <sheetViews>
    <sheetView tabSelected="1" zoomScale="80" zoomScaleNormal="80" workbookViewId="0">
      <pane ySplit="1" topLeftCell="A2" activePane="bottomLeft" state="frozen"/>
      <selection pane="bottomLeft" activeCell="M3" sqref="M3"/>
    </sheetView>
  </sheetViews>
  <sheetFormatPr defaultRowHeight="15" x14ac:dyDescent="0.25"/>
  <cols>
    <col min="1" max="1" width="11.42578125" bestFit="1" customWidth="1"/>
    <col min="2" max="2" width="50.140625" customWidth="1"/>
    <col min="3" max="4" width="10.85546875" customWidth="1"/>
    <col min="5" max="5" width="13.5703125" customWidth="1"/>
    <col min="6" max="6" width="16" customWidth="1"/>
    <col min="7" max="7" width="18.85546875" customWidth="1"/>
    <col min="8" max="8" width="19.28515625" customWidth="1"/>
    <col min="9" max="9" width="18.5703125" customWidth="1"/>
    <col min="10" max="10" width="14.42578125" customWidth="1"/>
    <col min="11" max="11" width="12.85546875" customWidth="1"/>
    <col min="12" max="12" width="13.85546875" customWidth="1"/>
    <col min="13" max="13" width="16.140625" customWidth="1"/>
  </cols>
  <sheetData>
    <row r="1" spans="1:13" ht="30" x14ac:dyDescent="0.25">
      <c r="A1" s="2" t="s">
        <v>0</v>
      </c>
      <c r="B1" s="3" t="s">
        <v>5</v>
      </c>
      <c r="C1" s="3" t="s">
        <v>2</v>
      </c>
      <c r="D1" s="3" t="s">
        <v>1</v>
      </c>
      <c r="E1" s="3" t="s">
        <v>6</v>
      </c>
      <c r="F1" s="17" t="s">
        <v>4</v>
      </c>
      <c r="G1" s="3" t="s">
        <v>10</v>
      </c>
      <c r="H1" s="20" t="s">
        <v>3</v>
      </c>
      <c r="I1" s="17" t="s">
        <v>11</v>
      </c>
      <c r="J1" s="17" t="s">
        <v>12</v>
      </c>
      <c r="K1" s="17" t="s">
        <v>13</v>
      </c>
      <c r="L1" s="3" t="s">
        <v>14</v>
      </c>
      <c r="M1" s="17" t="s">
        <v>244</v>
      </c>
    </row>
    <row r="2" spans="1:13" ht="30" x14ac:dyDescent="0.25">
      <c r="A2" s="24">
        <v>4</v>
      </c>
      <c r="B2" s="23" t="str">
        <f>VLOOKUP(TabelaPrincipal[[#This Row],[ITEM]],TabelaModelo,2,FALSE)</f>
        <v>ÁCIDO ASCÓRBICO 100MG/MLIV/IM 5ML SOLUÇÃO INJETÁVEL</v>
      </c>
      <c r="C2" s="24" t="str">
        <f>VLOOKUP(TabelaPrincipal[[#This Row],[ITEM]],TabelaModelo,3,FALSE)</f>
        <v>AMPOLA</v>
      </c>
      <c r="D2" s="24">
        <f>VLOOKUP(TabelaPrincipal[[#This Row],[ITEM]],TabelaModelo,4,FALSE)</f>
        <v>200</v>
      </c>
      <c r="E2" s="24" t="s">
        <v>232</v>
      </c>
      <c r="F2" s="1">
        <v>3.4</v>
      </c>
      <c r="G2" s="1">
        <f t="shared" ref="G2" si="0">ROUND(F2+(F2*0.3), 2)</f>
        <v>4.42</v>
      </c>
      <c r="H2" s="1">
        <f>D2*G2</f>
        <v>884</v>
      </c>
      <c r="I2" s="4">
        <v>0.2</v>
      </c>
      <c r="J2" s="1">
        <f>ROUND(F2+(F2*TabelaPrincipal[[#This Row],[PERCENTUAL MÍNIMO]]), 2)</f>
        <v>4.08</v>
      </c>
      <c r="K2" s="19">
        <v>4.08</v>
      </c>
      <c r="L2" s="18"/>
      <c r="M2" s="26">
        <f>TabelaPrincipal[[#This Row],[LANCE ATUAL]]*TabelaPrincipal[[#This Row],[QTD]]</f>
        <v>816</v>
      </c>
    </row>
    <row r="3" spans="1:13" x14ac:dyDescent="0.25">
      <c r="A3" s="24">
        <v>5</v>
      </c>
      <c r="B3" s="23" t="str">
        <f>VLOOKUP(TabelaPrincipal[[#This Row],[ITEM]],TabelaModelo,2,FALSE)</f>
        <v>ACIDO TRANEXAMICO 50MG/ML 5ML</v>
      </c>
      <c r="C3" s="24" t="str">
        <f>VLOOKUP(TabelaPrincipal[[#This Row],[ITEM]],TabelaModelo,3,FALSE)</f>
        <v>AMPOLA</v>
      </c>
      <c r="D3" s="24">
        <f>VLOOKUP(TabelaPrincipal[[#This Row],[ITEM]],TabelaModelo,4,FALSE)</f>
        <v>500</v>
      </c>
      <c r="E3" s="24" t="s">
        <v>233</v>
      </c>
      <c r="F3" s="1">
        <v>5.5</v>
      </c>
      <c r="G3" s="1">
        <f t="shared" ref="G3:G52" si="1">ROUND(F3+(F3*0.3), 2)</f>
        <v>7.15</v>
      </c>
      <c r="H3" s="1">
        <f t="shared" ref="H3:H52" si="2">D3*G3</f>
        <v>3575</v>
      </c>
      <c r="I3" s="4">
        <v>0.2</v>
      </c>
      <c r="J3" s="1">
        <f>ROUND(F3+(F3*TabelaPrincipal[[#This Row],[PERCENTUAL MÍNIMO]]), 2)</f>
        <v>6.6</v>
      </c>
      <c r="K3" s="19">
        <v>6.6</v>
      </c>
      <c r="L3" s="18"/>
      <c r="M3" s="26">
        <f>TabelaPrincipal[[#This Row],[LANCE ATUAL]]*TabelaPrincipal[[#This Row],[QTD]]</f>
        <v>3300</v>
      </c>
    </row>
    <row r="4" spans="1:13" ht="30" x14ac:dyDescent="0.25">
      <c r="A4" s="24">
        <v>6</v>
      </c>
      <c r="B4" s="23" t="str">
        <f>VLOOKUP(TabelaPrincipal[[#This Row],[ITEM]],TabelaModelo,2,FALSE)</f>
        <v>ADRENALINA 1MG/ML (HEMITARTARATO DE EPINEFRINA) 1ML</v>
      </c>
      <c r="C4" s="24" t="str">
        <f>VLOOKUP(TabelaPrincipal[[#This Row],[ITEM]],TabelaModelo,3,FALSE)</f>
        <v>AMPOLA</v>
      </c>
      <c r="D4" s="24">
        <f>VLOOKUP(TabelaPrincipal[[#This Row],[ITEM]],TabelaModelo,4,FALSE)</f>
        <v>850</v>
      </c>
      <c r="E4" s="24" t="s">
        <v>234</v>
      </c>
      <c r="F4" s="1">
        <v>2.2999999999999998</v>
      </c>
      <c r="G4" s="1">
        <f t="shared" si="1"/>
        <v>2.99</v>
      </c>
      <c r="H4" s="1">
        <f t="shared" si="2"/>
        <v>2541.5</v>
      </c>
      <c r="I4" s="4">
        <v>0.2</v>
      </c>
      <c r="J4" s="1">
        <f>ROUND(F4+(F4*TabelaPrincipal[[#This Row],[PERCENTUAL MÍNIMO]]), 2)</f>
        <v>2.76</v>
      </c>
      <c r="K4" s="19">
        <v>2.76</v>
      </c>
      <c r="L4" s="18"/>
      <c r="M4" s="26">
        <f>TabelaPrincipal[[#This Row],[LANCE ATUAL]]*TabelaPrincipal[[#This Row],[QTD]]</f>
        <v>2346</v>
      </c>
    </row>
    <row r="5" spans="1:13" x14ac:dyDescent="0.25">
      <c r="A5" s="24">
        <v>7</v>
      </c>
      <c r="B5" s="23" t="str">
        <f>VLOOKUP(TabelaPrincipal[[#This Row],[ITEM]],TabelaModelo,2,FALSE)</f>
        <v>AGUA DESTILADA PARA INJECAO 10ML</v>
      </c>
      <c r="C5" s="24" t="str">
        <f>VLOOKUP(TabelaPrincipal[[#This Row],[ITEM]],TabelaModelo,3,FALSE)</f>
        <v>AMPOLA</v>
      </c>
      <c r="D5" s="24">
        <f>VLOOKUP(TabelaPrincipal[[#This Row],[ITEM]],TabelaModelo,4,FALSE)</f>
        <v>10000</v>
      </c>
      <c r="E5" s="24" t="s">
        <v>235</v>
      </c>
      <c r="F5" s="1">
        <v>0.5</v>
      </c>
      <c r="G5" s="1">
        <f t="shared" si="1"/>
        <v>0.65</v>
      </c>
      <c r="H5" s="1">
        <f t="shared" si="2"/>
        <v>6500</v>
      </c>
      <c r="I5" s="4">
        <v>0.2</v>
      </c>
      <c r="J5" s="1">
        <f>ROUND(F5+(F5*TabelaPrincipal[[#This Row],[PERCENTUAL MÍNIMO]]), 2)</f>
        <v>0.6</v>
      </c>
      <c r="K5" s="19">
        <v>0.6</v>
      </c>
      <c r="L5" s="18"/>
      <c r="M5" s="26">
        <f>TabelaPrincipal[[#This Row],[LANCE ATUAL]]*TabelaPrincipal[[#This Row],[QTD]]</f>
        <v>6000</v>
      </c>
    </row>
    <row r="6" spans="1:13" x14ac:dyDescent="0.25">
      <c r="A6" s="24">
        <v>9</v>
      </c>
      <c r="B6" s="23" t="str">
        <f>VLOOKUP(TabelaPrincipal[[#This Row],[ITEM]],TabelaModelo,2,FALSE)</f>
        <v>AMINOFILINA 24MG 10ML</v>
      </c>
      <c r="C6" s="24" t="str">
        <f>VLOOKUP(TabelaPrincipal[[#This Row],[ITEM]],TabelaModelo,3,FALSE)</f>
        <v>AMPOLA</v>
      </c>
      <c r="D6" s="24">
        <f>VLOOKUP(TabelaPrincipal[[#This Row],[ITEM]],TabelaModelo,4,FALSE)</f>
        <v>200</v>
      </c>
      <c r="E6" s="24" t="s">
        <v>233</v>
      </c>
      <c r="F6" s="1">
        <v>9.9</v>
      </c>
      <c r="G6" s="1">
        <f t="shared" si="1"/>
        <v>12.87</v>
      </c>
      <c r="H6" s="1">
        <f t="shared" si="2"/>
        <v>2574</v>
      </c>
      <c r="I6" s="4">
        <v>0.2</v>
      </c>
      <c r="J6" s="1">
        <f>ROUND(F6+(F6*TabelaPrincipal[[#This Row],[PERCENTUAL MÍNIMO]]), 2)</f>
        <v>11.88</v>
      </c>
      <c r="K6" s="19">
        <v>11.88</v>
      </c>
      <c r="L6" s="18">
        <v>3</v>
      </c>
      <c r="M6" s="26">
        <f>TabelaPrincipal[[#This Row],[LANCE ATUAL]]*TabelaPrincipal[[#This Row],[QTD]]</f>
        <v>2376</v>
      </c>
    </row>
    <row r="7" spans="1:13" ht="30" x14ac:dyDescent="0.25">
      <c r="A7" s="24">
        <v>10</v>
      </c>
      <c r="B7" s="23" t="str">
        <f>VLOOKUP(TabelaPrincipal[[#This Row],[ITEM]],TabelaModelo,2,FALSE)</f>
        <v>AMOXICILINA + CLAV. DE POTASSIO 250MG/62,5MG 75ML</v>
      </c>
      <c r="C7" s="24" t="str">
        <f>VLOOKUP(TabelaPrincipal[[#This Row],[ITEM]],TabelaModelo,3,FALSE)</f>
        <v>FRASCO</v>
      </c>
      <c r="D7" s="24">
        <f>VLOOKUP(TabelaPrincipal[[#This Row],[ITEM]],TabelaModelo,4,FALSE)</f>
        <v>60</v>
      </c>
      <c r="E7" s="24" t="s">
        <v>229</v>
      </c>
      <c r="F7" s="1">
        <v>59</v>
      </c>
      <c r="G7" s="1">
        <f t="shared" si="1"/>
        <v>76.7</v>
      </c>
      <c r="H7" s="1">
        <f t="shared" si="2"/>
        <v>4602</v>
      </c>
      <c r="I7" s="4">
        <v>0.2</v>
      </c>
      <c r="J7" s="1">
        <f>ROUND(F7+(F7*TabelaPrincipal[[#This Row],[PERCENTUAL MÍNIMO]]), 2)</f>
        <v>70.8</v>
      </c>
      <c r="K7" s="19">
        <v>70.8</v>
      </c>
      <c r="L7" s="18">
        <v>3</v>
      </c>
      <c r="M7" s="26">
        <f>TabelaPrincipal[[#This Row],[LANCE ATUAL]]*TabelaPrincipal[[#This Row],[QTD]]</f>
        <v>4248</v>
      </c>
    </row>
    <row r="8" spans="1:13" x14ac:dyDescent="0.25">
      <c r="A8" s="24">
        <v>20</v>
      </c>
      <c r="B8" s="23" t="str">
        <f>VLOOKUP(TabelaPrincipal[[#This Row],[ITEM]],TabelaModelo,2,FALSE)</f>
        <v>BENZILPENICILINA BENZATINA 1.200.000 UI</v>
      </c>
      <c r="C8" s="24" t="str">
        <f>VLOOKUP(TabelaPrincipal[[#This Row],[ITEM]],TabelaModelo,3,FALSE)</f>
        <v>FRASCO</v>
      </c>
      <c r="D8" s="24">
        <f>VLOOKUP(TabelaPrincipal[[#This Row],[ITEM]],TabelaModelo,4,FALSE)</f>
        <v>1400</v>
      </c>
      <c r="E8" s="24" t="s">
        <v>228</v>
      </c>
      <c r="F8" s="1">
        <v>9.5</v>
      </c>
      <c r="G8" s="1">
        <f t="shared" si="1"/>
        <v>12.35</v>
      </c>
      <c r="H8" s="1">
        <f t="shared" si="2"/>
        <v>17290</v>
      </c>
      <c r="I8" s="4">
        <v>0.2</v>
      </c>
      <c r="J8" s="1">
        <f>ROUND(F8+(F8*TabelaPrincipal[[#This Row],[PERCENTUAL MÍNIMO]]), 2)</f>
        <v>11.4</v>
      </c>
      <c r="K8" s="19">
        <v>11.4</v>
      </c>
      <c r="L8" s="18"/>
      <c r="M8" s="26">
        <f>TabelaPrincipal[[#This Row],[LANCE ATUAL]]*TabelaPrincipal[[#This Row],[QTD]]</f>
        <v>15960</v>
      </c>
    </row>
    <row r="9" spans="1:13" ht="30" x14ac:dyDescent="0.25">
      <c r="A9" s="24">
        <v>26</v>
      </c>
      <c r="B9" s="23" t="str">
        <f>VLOOKUP(TabelaPrincipal[[#This Row],[ITEM]],TabelaModelo,2,FALSE)</f>
        <v>BUTILBROMETO DE ESCOPOLAMINA 4MG/ML + DIPIRONA SÓDICA 500MG/ML 5ML</v>
      </c>
      <c r="C9" s="24" t="str">
        <f>VLOOKUP(TabelaPrincipal[[#This Row],[ITEM]],TabelaModelo,3,FALSE)</f>
        <v>AMPOLA</v>
      </c>
      <c r="D9" s="24">
        <f>VLOOKUP(TabelaPrincipal[[#This Row],[ITEM]],TabelaModelo,4,FALSE)</f>
        <v>3000</v>
      </c>
      <c r="E9" s="24" t="s">
        <v>234</v>
      </c>
      <c r="F9" s="1">
        <v>2.6</v>
      </c>
      <c r="G9" s="1">
        <f t="shared" si="1"/>
        <v>3.38</v>
      </c>
      <c r="H9" s="1">
        <f t="shared" si="2"/>
        <v>10140</v>
      </c>
      <c r="I9" s="4">
        <v>0.2</v>
      </c>
      <c r="J9" s="1">
        <f>ROUND(F9+(F9*TabelaPrincipal[[#This Row],[PERCENTUAL MÍNIMO]]), 2)</f>
        <v>3.12</v>
      </c>
      <c r="K9" s="19">
        <v>3.12</v>
      </c>
      <c r="L9" s="18"/>
      <c r="M9" s="26">
        <f>TabelaPrincipal[[#This Row],[LANCE ATUAL]]*TabelaPrincipal[[#This Row],[QTD]]</f>
        <v>9360</v>
      </c>
    </row>
    <row r="10" spans="1:13" x14ac:dyDescent="0.25">
      <c r="A10" s="24">
        <v>34</v>
      </c>
      <c r="B10" s="23" t="str">
        <f>VLOOKUP(TabelaPrincipal[[#This Row],[ITEM]],TabelaModelo,2,FALSE)</f>
        <v>CEFALOTINA 1G IM/IV</v>
      </c>
      <c r="C10" s="24" t="str">
        <f>VLOOKUP(TabelaPrincipal[[#This Row],[ITEM]],TabelaModelo,3,FALSE)</f>
        <v>FRASCO</v>
      </c>
      <c r="D10" s="24">
        <f>VLOOKUP(TabelaPrincipal[[#This Row],[ITEM]],TabelaModelo,4,FALSE)</f>
        <v>2000</v>
      </c>
      <c r="E10" s="24" t="s">
        <v>239</v>
      </c>
      <c r="F10" s="1">
        <v>6.9</v>
      </c>
      <c r="G10" s="1">
        <f t="shared" si="1"/>
        <v>8.9700000000000006</v>
      </c>
      <c r="H10" s="1">
        <f t="shared" si="2"/>
        <v>17940</v>
      </c>
      <c r="I10" s="4">
        <v>0.2</v>
      </c>
      <c r="J10" s="1">
        <f>ROUND(F10+(F10*TabelaPrincipal[[#This Row],[PERCENTUAL MÍNIMO]]), 2)</f>
        <v>8.2799999999999994</v>
      </c>
      <c r="K10" s="19">
        <v>8.2799999999999994</v>
      </c>
      <c r="L10" s="18"/>
      <c r="M10" s="26">
        <f>TabelaPrincipal[[#This Row],[LANCE ATUAL]]*TabelaPrincipal[[#This Row],[QTD]]</f>
        <v>16560</v>
      </c>
    </row>
    <row r="11" spans="1:13" x14ac:dyDescent="0.25">
      <c r="A11" s="24">
        <v>35</v>
      </c>
      <c r="B11" s="23" t="str">
        <f>VLOOKUP(TabelaPrincipal[[#This Row],[ITEM]],TabelaModelo,2,FALSE)</f>
        <v>CEFEPIMA 1G PÓ P/ SOLUÇÃO INJETÁVEL</v>
      </c>
      <c r="C11" s="24" t="str">
        <f>VLOOKUP(TabelaPrincipal[[#This Row],[ITEM]],TabelaModelo,3,FALSE)</f>
        <v>FRASCO AMPOLA</v>
      </c>
      <c r="D11" s="24">
        <f>VLOOKUP(TabelaPrincipal[[#This Row],[ITEM]],TabelaModelo,4,FALSE)</f>
        <v>500</v>
      </c>
      <c r="E11" s="24" t="s">
        <v>228</v>
      </c>
      <c r="F11" s="1">
        <v>13.5</v>
      </c>
      <c r="G11" s="1">
        <f t="shared" si="1"/>
        <v>17.55</v>
      </c>
      <c r="H11" s="1">
        <f t="shared" si="2"/>
        <v>8775</v>
      </c>
      <c r="I11" s="4">
        <v>0.2</v>
      </c>
      <c r="J11" s="1">
        <f>ROUND(F11+(F11*TabelaPrincipal[[#This Row],[PERCENTUAL MÍNIMO]]), 2)</f>
        <v>16.2</v>
      </c>
      <c r="K11" s="19">
        <v>16.2</v>
      </c>
      <c r="L11" s="18"/>
      <c r="M11" s="26">
        <f>TabelaPrincipal[[#This Row],[LANCE ATUAL]]*TabelaPrincipal[[#This Row],[QTD]]</f>
        <v>8100</v>
      </c>
    </row>
    <row r="12" spans="1:13" x14ac:dyDescent="0.25">
      <c r="A12" s="24">
        <v>36</v>
      </c>
      <c r="B12" s="23" t="str">
        <f>VLOOKUP(TabelaPrincipal[[#This Row],[ITEM]],TabelaModelo,2,FALSE)</f>
        <v>CEFTRIAXONA 1G IV</v>
      </c>
      <c r="C12" s="24" t="str">
        <f>VLOOKUP(TabelaPrincipal[[#This Row],[ITEM]],TabelaModelo,3,FALSE)</f>
        <v>FRASCO</v>
      </c>
      <c r="D12" s="24">
        <f>VLOOKUP(TabelaPrincipal[[#This Row],[ITEM]],TabelaModelo,4,FALSE)</f>
        <v>3000</v>
      </c>
      <c r="E12" s="24" t="s">
        <v>239</v>
      </c>
      <c r="F12" s="1">
        <v>4.9000000000000004</v>
      </c>
      <c r="G12" s="1">
        <f t="shared" si="1"/>
        <v>6.37</v>
      </c>
      <c r="H12" s="1">
        <f t="shared" si="2"/>
        <v>19110</v>
      </c>
      <c r="I12" s="4">
        <v>0.2</v>
      </c>
      <c r="J12" s="1">
        <f>ROUND(F12+(F12*TabelaPrincipal[[#This Row],[PERCENTUAL MÍNIMO]]), 2)</f>
        <v>5.88</v>
      </c>
      <c r="K12" s="19">
        <v>5.88</v>
      </c>
      <c r="L12" s="18"/>
      <c r="M12" s="26">
        <f>TabelaPrincipal[[#This Row],[LANCE ATUAL]]*TabelaPrincipal[[#This Row],[QTD]]</f>
        <v>17640</v>
      </c>
    </row>
    <row r="13" spans="1:13" x14ac:dyDescent="0.25">
      <c r="A13" s="24">
        <v>40</v>
      </c>
      <c r="B13" s="23" t="str">
        <f>VLOOKUP(TabelaPrincipal[[#This Row],[ITEM]],TabelaModelo,2,FALSE)</f>
        <v>CIMETIDINA 150 MG/ML INJETAVEL 2 ML</v>
      </c>
      <c r="C13" s="24" t="str">
        <f>VLOOKUP(TabelaPrincipal[[#This Row],[ITEM]],TabelaModelo,3,FALSE)</f>
        <v>AMPOLA</v>
      </c>
      <c r="D13" s="24">
        <f>VLOOKUP(TabelaPrincipal[[#This Row],[ITEM]],TabelaModelo,4,FALSE)</f>
        <v>1400</v>
      </c>
      <c r="E13" s="24" t="s">
        <v>228</v>
      </c>
      <c r="F13" s="1">
        <v>2.5</v>
      </c>
      <c r="G13" s="1">
        <f t="shared" si="1"/>
        <v>3.25</v>
      </c>
      <c r="H13" s="1">
        <f t="shared" si="2"/>
        <v>4550</v>
      </c>
      <c r="I13" s="4">
        <v>0.2</v>
      </c>
      <c r="J13" s="1">
        <f>ROUND(F13+(F13*TabelaPrincipal[[#This Row],[PERCENTUAL MÍNIMO]]), 2)</f>
        <v>3</v>
      </c>
      <c r="K13" s="19">
        <v>3.01</v>
      </c>
      <c r="L13" s="18"/>
      <c r="M13" s="26">
        <f>TabelaPrincipal[[#This Row],[LANCE ATUAL]]*TabelaPrincipal[[#This Row],[QTD]]</f>
        <v>4214</v>
      </c>
    </row>
    <row r="14" spans="1:13" x14ac:dyDescent="0.25">
      <c r="A14" s="24">
        <v>42</v>
      </c>
      <c r="B14" s="23" t="str">
        <f>VLOOKUP(TabelaPrincipal[[#This Row],[ITEM]],TabelaModelo,2,FALSE)</f>
        <v>CIPROFLOXACINO FR 200MG 100ML</v>
      </c>
      <c r="C14" s="24" t="str">
        <f>VLOOKUP(TabelaPrincipal[[#This Row],[ITEM]],TabelaModelo,3,FALSE)</f>
        <v>FRASCO</v>
      </c>
      <c r="D14" s="24">
        <f>VLOOKUP(TabelaPrincipal[[#This Row],[ITEM]],TabelaModelo,4,FALSE)</f>
        <v>400</v>
      </c>
      <c r="E14" s="24" t="s">
        <v>235</v>
      </c>
      <c r="F14" s="1">
        <v>34</v>
      </c>
      <c r="G14" s="1">
        <f t="shared" si="1"/>
        <v>44.2</v>
      </c>
      <c r="H14" s="1">
        <f t="shared" si="2"/>
        <v>17680</v>
      </c>
      <c r="I14" s="4">
        <v>0.2</v>
      </c>
      <c r="J14" s="1">
        <f>ROUND(F14+(F14*TabelaPrincipal[[#This Row],[PERCENTUAL MÍNIMO]]), 2)</f>
        <v>40.799999999999997</v>
      </c>
      <c r="K14" s="19">
        <v>40.799999999999997</v>
      </c>
      <c r="L14" s="18"/>
      <c r="M14" s="26">
        <f>TabelaPrincipal[[#This Row],[LANCE ATUAL]]*TabelaPrincipal[[#This Row],[QTD]]</f>
        <v>16319.999999999998</v>
      </c>
    </row>
    <row r="15" spans="1:13" x14ac:dyDescent="0.25">
      <c r="A15" s="24">
        <v>62</v>
      </c>
      <c r="B15" s="23" t="str">
        <f>VLOOKUP(TabelaPrincipal[[#This Row],[ITEM]],TabelaModelo,2,FALSE)</f>
        <v>CLORIDRATO DE PROMETAZINA 50 MG 2ML</v>
      </c>
      <c r="C15" s="24" t="str">
        <f>VLOOKUP(TabelaPrincipal[[#This Row],[ITEM]],TabelaModelo,3,FALSE)</f>
        <v>AMPOLA</v>
      </c>
      <c r="D15" s="24">
        <f>VLOOKUP(TabelaPrincipal[[#This Row],[ITEM]],TabelaModelo,4,FALSE)</f>
        <v>1200</v>
      </c>
      <c r="E15" s="24" t="s">
        <v>236</v>
      </c>
      <c r="F15" s="1">
        <v>3</v>
      </c>
      <c r="G15" s="1">
        <f t="shared" si="1"/>
        <v>3.9</v>
      </c>
      <c r="H15" s="1">
        <f t="shared" si="2"/>
        <v>4680</v>
      </c>
      <c r="I15" s="4">
        <v>0.2</v>
      </c>
      <c r="J15" s="1">
        <f>ROUND(F15+(F15*TabelaPrincipal[[#This Row],[PERCENTUAL MÍNIMO]]), 2)</f>
        <v>3.6</v>
      </c>
      <c r="K15" s="19">
        <v>3.6</v>
      </c>
      <c r="L15" s="18"/>
      <c r="M15" s="26">
        <f>TabelaPrincipal[[#This Row],[LANCE ATUAL]]*TabelaPrincipal[[#This Row],[QTD]]</f>
        <v>4320</v>
      </c>
    </row>
    <row r="16" spans="1:13" ht="45" x14ac:dyDescent="0.25">
      <c r="A16" s="24">
        <v>63</v>
      </c>
      <c r="B16" s="23" t="str">
        <f>VLOOKUP(TabelaPrincipal[[#This Row],[ITEM]],TabelaModelo,2,FALSE)</f>
        <v>COMPLEXO B + ÁCIDO ASCÓRBICO + FRUTOSE SOLUÇÃO INJETÁVEL EV CONTÉM1 AMPOLA A DE 10ML E 1 AMPOLA B DE 10ML</v>
      </c>
      <c r="C16" s="24" t="str">
        <f>VLOOKUP(TabelaPrincipal[[#This Row],[ITEM]],TabelaModelo,3,FALSE)</f>
        <v>AMPOLA</v>
      </c>
      <c r="D16" s="24">
        <f>VLOOKUP(TabelaPrincipal[[#This Row],[ITEM]],TabelaModelo,4,FALSE)</f>
        <v>2000</v>
      </c>
      <c r="E16" s="24" t="s">
        <v>227</v>
      </c>
      <c r="F16" s="1">
        <v>8</v>
      </c>
      <c r="G16" s="1">
        <f t="shared" si="1"/>
        <v>10.4</v>
      </c>
      <c r="H16" s="1">
        <f t="shared" si="2"/>
        <v>20800</v>
      </c>
      <c r="I16" s="4">
        <v>0.2</v>
      </c>
      <c r="J16" s="1">
        <f>ROUND(F16+(F16*TabelaPrincipal[[#This Row],[PERCENTUAL MÍNIMO]]), 2)</f>
        <v>9.6</v>
      </c>
      <c r="K16" s="19">
        <v>9.6</v>
      </c>
      <c r="L16" s="18">
        <v>2</v>
      </c>
      <c r="M16" s="26">
        <f>TabelaPrincipal[[#This Row],[LANCE ATUAL]]*TabelaPrincipal[[#This Row],[QTD]]</f>
        <v>19200</v>
      </c>
    </row>
    <row r="17" spans="1:13" x14ac:dyDescent="0.25">
      <c r="A17" s="24">
        <v>65</v>
      </c>
      <c r="B17" s="23" t="str">
        <f>VLOOKUP(TabelaPrincipal[[#This Row],[ITEM]],TabelaModelo,2,FALSE)</f>
        <v>DEXAMETAXONA 4MG/ML 2,5ML</v>
      </c>
      <c r="C17" s="24" t="str">
        <f>VLOOKUP(TabelaPrincipal[[#This Row],[ITEM]],TabelaModelo,3,FALSE)</f>
        <v>AMPOLA</v>
      </c>
      <c r="D17" s="24">
        <f>VLOOKUP(TabelaPrincipal[[#This Row],[ITEM]],TabelaModelo,4,FALSE)</f>
        <v>8000</v>
      </c>
      <c r="E17" s="24" t="s">
        <v>228</v>
      </c>
      <c r="F17" s="1">
        <v>2.7</v>
      </c>
      <c r="G17" s="1">
        <f t="shared" si="1"/>
        <v>3.51</v>
      </c>
      <c r="H17" s="1">
        <f t="shared" si="2"/>
        <v>28080</v>
      </c>
      <c r="I17" s="4">
        <v>0.2</v>
      </c>
      <c r="J17" s="1">
        <f>ROUND(F17+(F17*TabelaPrincipal[[#This Row],[PERCENTUAL MÍNIMO]]), 2)</f>
        <v>3.24</v>
      </c>
      <c r="K17" s="19">
        <v>3.24</v>
      </c>
      <c r="L17" s="18"/>
      <c r="M17" s="26">
        <f>TabelaPrincipal[[#This Row],[LANCE ATUAL]]*TabelaPrincipal[[#This Row],[QTD]]</f>
        <v>25920</v>
      </c>
    </row>
    <row r="18" spans="1:13" x14ac:dyDescent="0.25">
      <c r="A18" s="24">
        <v>70</v>
      </c>
      <c r="B18" s="23" t="str">
        <f>VLOOKUP(TabelaPrincipal[[#This Row],[ITEM]],TabelaModelo,2,FALSE)</f>
        <v>DICLOFENACO DE SÓDIO 25MG/ML 3ML</v>
      </c>
      <c r="C18" s="24" t="str">
        <f>VLOOKUP(TabelaPrincipal[[#This Row],[ITEM]],TabelaModelo,3,FALSE)</f>
        <v>AMPOLA</v>
      </c>
      <c r="D18" s="24">
        <f>VLOOKUP(TabelaPrincipal[[#This Row],[ITEM]],TabelaModelo,4,FALSE)</f>
        <v>5000</v>
      </c>
      <c r="E18" s="24" t="s">
        <v>228</v>
      </c>
      <c r="F18" s="1">
        <v>1.5</v>
      </c>
      <c r="G18" s="1">
        <f t="shared" si="1"/>
        <v>1.95</v>
      </c>
      <c r="H18" s="1">
        <f t="shared" si="2"/>
        <v>9750</v>
      </c>
      <c r="I18" s="4">
        <v>0.2</v>
      </c>
      <c r="J18" s="1">
        <f>ROUND(F18+(F18*TabelaPrincipal[[#This Row],[PERCENTUAL MÍNIMO]]), 2)</f>
        <v>1.8</v>
      </c>
      <c r="K18" s="19">
        <v>1.8</v>
      </c>
      <c r="L18" s="18"/>
      <c r="M18" s="26">
        <f>TabelaPrincipal[[#This Row],[LANCE ATUAL]]*TabelaPrincipal[[#This Row],[QTD]]</f>
        <v>9000</v>
      </c>
    </row>
    <row r="19" spans="1:13" ht="45" x14ac:dyDescent="0.25">
      <c r="A19" s="24">
        <v>72</v>
      </c>
      <c r="B19" s="23" t="str">
        <f>VLOOKUP(TabelaPrincipal[[#This Row],[ITEM]],TabelaModelo,2,FALSE)</f>
        <v>DIMENIDRINATO 30 MG + PIRIDOXINA 50 MG INJ. + GLICOSE 1000 MG + FRUTOSE 1000 MG ENDOVENOSO 10 ML</v>
      </c>
      <c r="C19" s="24" t="str">
        <f>VLOOKUP(TabelaPrincipal[[#This Row],[ITEM]],TabelaModelo,3,FALSE)</f>
        <v>AMPOLA</v>
      </c>
      <c r="D19" s="24">
        <f>VLOOKUP(TabelaPrincipal[[#This Row],[ITEM]],TabelaModelo,4,FALSE)</f>
        <v>1000</v>
      </c>
      <c r="E19" s="24" t="s">
        <v>237</v>
      </c>
      <c r="F19" s="1">
        <v>19</v>
      </c>
      <c r="G19" s="1">
        <f t="shared" si="1"/>
        <v>24.7</v>
      </c>
      <c r="H19" s="1">
        <f t="shared" si="2"/>
        <v>24700</v>
      </c>
      <c r="I19" s="4">
        <v>0.2</v>
      </c>
      <c r="J19" s="1">
        <f>ROUND(F19+(F19*TabelaPrincipal[[#This Row],[PERCENTUAL MÍNIMO]]), 2)</f>
        <v>22.8</v>
      </c>
      <c r="K19" s="19">
        <v>22.8</v>
      </c>
      <c r="L19" s="18">
        <v>2</v>
      </c>
      <c r="M19" s="26">
        <f>TabelaPrincipal[[#This Row],[LANCE ATUAL]]*TabelaPrincipal[[#This Row],[QTD]]</f>
        <v>22800</v>
      </c>
    </row>
    <row r="20" spans="1:13" x14ac:dyDescent="0.25">
      <c r="A20" s="24">
        <v>74</v>
      </c>
      <c r="B20" s="23" t="str">
        <f>VLOOKUP(TabelaPrincipal[[#This Row],[ITEM]],TabelaModelo,2,FALSE)</f>
        <v>DIPIRONA SÓDICA 1G/2ML</v>
      </c>
      <c r="C20" s="24" t="str">
        <f>VLOOKUP(TabelaPrincipal[[#This Row],[ITEM]],TabelaModelo,3,FALSE)</f>
        <v>AMPOLA</v>
      </c>
      <c r="D20" s="24">
        <f>VLOOKUP(TabelaPrincipal[[#This Row],[ITEM]],TabelaModelo,4,FALSE)</f>
        <v>8000</v>
      </c>
      <c r="E20" s="24" t="s">
        <v>228</v>
      </c>
      <c r="F20" s="1">
        <v>1.6</v>
      </c>
      <c r="G20" s="1">
        <f t="shared" si="1"/>
        <v>2.08</v>
      </c>
      <c r="H20" s="1">
        <f t="shared" si="2"/>
        <v>16640</v>
      </c>
      <c r="I20" s="4">
        <v>0.2</v>
      </c>
      <c r="J20" s="1">
        <f>ROUND(F20+(F20*TabelaPrincipal[[#This Row],[PERCENTUAL MÍNIMO]]), 2)</f>
        <v>1.92</v>
      </c>
      <c r="K20" s="19">
        <v>1.92</v>
      </c>
      <c r="L20" s="18"/>
      <c r="M20" s="26">
        <f>TabelaPrincipal[[#This Row],[LANCE ATUAL]]*TabelaPrincipal[[#This Row],[QTD]]</f>
        <v>15360</v>
      </c>
    </row>
    <row r="21" spans="1:13" ht="45" x14ac:dyDescent="0.25">
      <c r="A21" s="24">
        <v>80</v>
      </c>
      <c r="B21" s="23" t="str">
        <f>VLOOKUP(TabelaPrincipal[[#This Row],[ITEM]],TabelaModelo,2,FALSE)</f>
        <v>ENOXAPARINA SODICA 60MG/0,6 ML SOLUCAO INJETAVEL USO SUBCUTANEO/INTRAVENOSO COM 2 SERINGAS PRE-ENCHIDAS COM 0,6 ML</v>
      </c>
      <c r="C21" s="24" t="str">
        <f>VLOOKUP(TabelaPrincipal[[#This Row],[ITEM]],TabelaModelo,3,FALSE)</f>
        <v>CAIXA</v>
      </c>
      <c r="D21" s="24">
        <f>VLOOKUP(TabelaPrincipal[[#This Row],[ITEM]],TabelaModelo,4,FALSE)</f>
        <v>500</v>
      </c>
      <c r="E21" s="24" t="s">
        <v>227</v>
      </c>
      <c r="F21" s="1">
        <v>69</v>
      </c>
      <c r="G21" s="1">
        <f t="shared" si="1"/>
        <v>89.7</v>
      </c>
      <c r="H21" s="1">
        <f t="shared" si="2"/>
        <v>44850</v>
      </c>
      <c r="I21" s="4">
        <v>0.2</v>
      </c>
      <c r="J21" s="1">
        <f>ROUND(F21+(F21*TabelaPrincipal[[#This Row],[PERCENTUAL MÍNIMO]]), 2)</f>
        <v>82.8</v>
      </c>
      <c r="K21" s="19">
        <v>82.8</v>
      </c>
      <c r="L21" s="18"/>
      <c r="M21" s="26">
        <f>TabelaPrincipal[[#This Row],[LANCE ATUAL]]*TabelaPrincipal[[#This Row],[QTD]]</f>
        <v>41400</v>
      </c>
    </row>
    <row r="22" spans="1:13" ht="30" x14ac:dyDescent="0.25">
      <c r="A22" s="24">
        <v>81</v>
      </c>
      <c r="B22" s="23" t="str">
        <f>VLOOKUP(TabelaPrincipal[[#This Row],[ITEM]],TabelaModelo,2,FALSE)</f>
        <v>ENOXAPARINA SÓDICA 40MG/0,4ML SOL. INJETÁVEL VIA SUBCUTÂNEA/ IV</v>
      </c>
      <c r="C22" s="24" t="str">
        <f>VLOOKUP(TabelaPrincipal[[#This Row],[ITEM]],TabelaModelo,3,FALSE)</f>
        <v>UNIDADE</v>
      </c>
      <c r="D22" s="24">
        <f>VLOOKUP(TabelaPrincipal[[#This Row],[ITEM]],TabelaModelo,4,FALSE)</f>
        <v>1000</v>
      </c>
      <c r="E22" s="24" t="s">
        <v>238</v>
      </c>
      <c r="F22" s="1">
        <v>23</v>
      </c>
      <c r="G22" s="1">
        <f t="shared" si="1"/>
        <v>29.9</v>
      </c>
      <c r="H22" s="1">
        <f t="shared" si="2"/>
        <v>29900</v>
      </c>
      <c r="I22" s="4">
        <v>0.2</v>
      </c>
      <c r="J22" s="1">
        <f>ROUND(F22+(F22*TabelaPrincipal[[#This Row],[PERCENTUAL MÍNIMO]]), 2)</f>
        <v>27.6</v>
      </c>
      <c r="K22" s="19">
        <v>27.61</v>
      </c>
      <c r="L22" s="18"/>
      <c r="M22" s="26">
        <f>TabelaPrincipal[[#This Row],[LANCE ATUAL]]*TabelaPrincipal[[#This Row],[QTD]]</f>
        <v>27610</v>
      </c>
    </row>
    <row r="23" spans="1:13" ht="30" x14ac:dyDescent="0.25">
      <c r="A23" s="24">
        <v>91</v>
      </c>
      <c r="B23" s="23" t="str">
        <f>VLOOKUP(TabelaPrincipal[[#This Row],[ITEM]],TabelaModelo,2,FALSE)</f>
        <v>FOSFATO DE CLINDAMICINA 150 MG/ML 4ML USO IV/IM INJETAVEL</v>
      </c>
      <c r="C23" s="24" t="str">
        <f>VLOOKUP(TabelaPrincipal[[#This Row],[ITEM]],TabelaModelo,3,FALSE)</f>
        <v>AMPOLA</v>
      </c>
      <c r="D23" s="24">
        <f>VLOOKUP(TabelaPrincipal[[#This Row],[ITEM]],TabelaModelo,4,FALSE)</f>
        <v>600</v>
      </c>
      <c r="E23" s="24" t="s">
        <v>234</v>
      </c>
      <c r="F23" s="1">
        <v>5.5</v>
      </c>
      <c r="G23" s="1">
        <f t="shared" si="1"/>
        <v>7.15</v>
      </c>
      <c r="H23" s="1">
        <f t="shared" si="2"/>
        <v>4290</v>
      </c>
      <c r="I23" s="4">
        <v>0.2</v>
      </c>
      <c r="J23" s="1">
        <f>ROUND(F23+(F23*TabelaPrincipal[[#This Row],[PERCENTUAL MÍNIMO]]), 2)</f>
        <v>6.6</v>
      </c>
      <c r="K23" s="19">
        <v>6.61</v>
      </c>
      <c r="L23" s="18"/>
      <c r="M23" s="26">
        <f>TabelaPrincipal[[#This Row],[LANCE ATUAL]]*TabelaPrincipal[[#This Row],[QTD]]</f>
        <v>3966</v>
      </c>
    </row>
    <row r="24" spans="1:13" x14ac:dyDescent="0.25">
      <c r="A24" s="24">
        <v>93</v>
      </c>
      <c r="B24" s="23" t="str">
        <f>VLOOKUP(TabelaPrincipal[[#This Row],[ITEM]],TabelaModelo,2,FALSE)</f>
        <v>FUROSEMIDA 20MG.2ML</v>
      </c>
      <c r="C24" s="24" t="str">
        <f>VLOOKUP(TabelaPrincipal[[#This Row],[ITEM]],TabelaModelo,3,FALSE)</f>
        <v>AMPOLA</v>
      </c>
      <c r="D24" s="24">
        <f>VLOOKUP(TabelaPrincipal[[#This Row],[ITEM]],TabelaModelo,4,FALSE)</f>
        <v>600</v>
      </c>
      <c r="E24" s="24" t="s">
        <v>228</v>
      </c>
      <c r="F24" s="1">
        <v>1.9</v>
      </c>
      <c r="G24" s="1">
        <f t="shared" si="1"/>
        <v>2.4700000000000002</v>
      </c>
      <c r="H24" s="1">
        <f t="shared" si="2"/>
        <v>1482.0000000000002</v>
      </c>
      <c r="I24" s="4">
        <v>0.2</v>
      </c>
      <c r="J24" s="1">
        <f>ROUND(F24+(F24*TabelaPrincipal[[#This Row],[PERCENTUAL MÍNIMO]]), 2)</f>
        <v>2.2799999999999998</v>
      </c>
      <c r="K24" s="19">
        <v>2.2799999999999998</v>
      </c>
      <c r="L24" s="18"/>
      <c r="M24" s="26">
        <f>TabelaPrincipal[[#This Row],[LANCE ATUAL]]*TabelaPrincipal[[#This Row],[QTD]]</f>
        <v>1367.9999999999998</v>
      </c>
    </row>
    <row r="25" spans="1:13" x14ac:dyDescent="0.25">
      <c r="A25" s="24">
        <v>99</v>
      </c>
      <c r="B25" s="23" t="str">
        <f>VLOOKUP(TabelaPrincipal[[#This Row],[ITEM]],TabelaModelo,2,FALSE)</f>
        <v>GLICOSE 50% 10ML</v>
      </c>
      <c r="C25" s="24" t="str">
        <f>VLOOKUP(TabelaPrincipal[[#This Row],[ITEM]],TabelaModelo,3,FALSE)</f>
        <v>AMPOLA</v>
      </c>
      <c r="D25" s="24">
        <f>VLOOKUP(TabelaPrincipal[[#This Row],[ITEM]],TabelaModelo,4,FALSE)</f>
        <v>2300</v>
      </c>
      <c r="E25" s="24" t="s">
        <v>235</v>
      </c>
      <c r="F25" s="1">
        <v>0.95</v>
      </c>
      <c r="G25" s="1">
        <f t="shared" si="1"/>
        <v>1.24</v>
      </c>
      <c r="H25" s="1">
        <f t="shared" si="2"/>
        <v>2852</v>
      </c>
      <c r="I25" s="4">
        <v>0.2</v>
      </c>
      <c r="J25" s="1">
        <f>ROUND(F25+(F25*TabelaPrincipal[[#This Row],[PERCENTUAL MÍNIMO]]), 2)</f>
        <v>1.1399999999999999</v>
      </c>
      <c r="K25" s="19">
        <v>1.1399999999999999</v>
      </c>
      <c r="L25" s="18"/>
      <c r="M25" s="26">
        <f>TabelaPrincipal[[#This Row],[LANCE ATUAL]]*TabelaPrincipal[[#This Row],[QTD]]</f>
        <v>2622</v>
      </c>
    </row>
    <row r="26" spans="1:13" x14ac:dyDescent="0.25">
      <c r="A26" s="24">
        <v>102</v>
      </c>
      <c r="B26" s="23" t="str">
        <f>VLOOKUP(TabelaPrincipal[[#This Row],[ITEM]],TabelaModelo,2,FALSE)</f>
        <v>HEPARINA SÓDICA SUBCUTÂNEA 5000 UI/0,25ML</v>
      </c>
      <c r="C26" s="24" t="str">
        <f>VLOOKUP(TabelaPrincipal[[#This Row],[ITEM]],TabelaModelo,3,FALSE)</f>
        <v>AMPOLA</v>
      </c>
      <c r="D26" s="24">
        <f>VLOOKUP(TabelaPrincipal[[#This Row],[ITEM]],TabelaModelo,4,FALSE)</f>
        <v>1000</v>
      </c>
      <c r="E26" s="24" t="s">
        <v>227</v>
      </c>
      <c r="F26" s="1">
        <v>8.9</v>
      </c>
      <c r="G26" s="1">
        <f t="shared" si="1"/>
        <v>11.57</v>
      </c>
      <c r="H26" s="1">
        <f t="shared" si="2"/>
        <v>11570</v>
      </c>
      <c r="I26" s="4">
        <v>0.2</v>
      </c>
      <c r="J26" s="1">
        <f>ROUND(F26+(F26*TabelaPrincipal[[#This Row],[PERCENTUAL MÍNIMO]]), 2)</f>
        <v>10.68</v>
      </c>
      <c r="K26" s="19">
        <v>10.68</v>
      </c>
      <c r="L26" s="18"/>
      <c r="M26" s="26">
        <f>TabelaPrincipal[[#This Row],[LANCE ATUAL]]*TabelaPrincipal[[#This Row],[QTD]]</f>
        <v>10680</v>
      </c>
    </row>
    <row r="27" spans="1:13" x14ac:dyDescent="0.25">
      <c r="A27" s="24">
        <v>106</v>
      </c>
      <c r="B27" s="23" t="str">
        <f>VLOOKUP(TabelaPrincipal[[#This Row],[ITEM]],TabelaModelo,2,FALSE)</f>
        <v>HIDROCORTISONA 100 MG</v>
      </c>
      <c r="C27" s="24" t="str">
        <f>VLOOKUP(TabelaPrincipal[[#This Row],[ITEM]],TabelaModelo,3,FALSE)</f>
        <v>FRASCO AMPOLA</v>
      </c>
      <c r="D27" s="24">
        <f>VLOOKUP(TabelaPrincipal[[#This Row],[ITEM]],TabelaModelo,4,FALSE)</f>
        <v>1600</v>
      </c>
      <c r="E27" s="24" t="s">
        <v>239</v>
      </c>
      <c r="F27" s="1">
        <v>4.9000000000000004</v>
      </c>
      <c r="G27" s="1">
        <f t="shared" si="1"/>
        <v>6.37</v>
      </c>
      <c r="H27" s="1">
        <f t="shared" si="2"/>
        <v>10192</v>
      </c>
      <c r="I27" s="4">
        <v>0.2</v>
      </c>
      <c r="J27" s="1">
        <f>ROUND(F27+(F27*TabelaPrincipal[[#This Row],[PERCENTUAL MÍNIMO]]), 2)</f>
        <v>5.88</v>
      </c>
      <c r="K27" s="19">
        <v>5.88</v>
      </c>
      <c r="L27" s="18"/>
      <c r="M27" s="26">
        <f>TabelaPrincipal[[#This Row],[LANCE ATUAL]]*TabelaPrincipal[[#This Row],[QTD]]</f>
        <v>9408</v>
      </c>
    </row>
    <row r="28" spans="1:13" x14ac:dyDescent="0.25">
      <c r="A28" s="24">
        <v>107</v>
      </c>
      <c r="B28" s="23" t="str">
        <f>VLOOKUP(TabelaPrincipal[[#This Row],[ITEM]],TabelaModelo,2,FALSE)</f>
        <v>HIDROCORTISONA 500MG</v>
      </c>
      <c r="C28" s="24" t="str">
        <f>VLOOKUP(TabelaPrincipal[[#This Row],[ITEM]],TabelaModelo,3,FALSE)</f>
        <v>AMPOLA</v>
      </c>
      <c r="D28" s="24">
        <f>VLOOKUP(TabelaPrincipal[[#This Row],[ITEM]],TabelaModelo,4,FALSE)</f>
        <v>1000</v>
      </c>
      <c r="E28" s="24" t="s">
        <v>228</v>
      </c>
      <c r="F28" s="1">
        <v>6.99</v>
      </c>
      <c r="G28" s="1">
        <f t="shared" si="1"/>
        <v>9.09</v>
      </c>
      <c r="H28" s="1">
        <f t="shared" si="2"/>
        <v>9090</v>
      </c>
      <c r="I28" s="4">
        <v>0.2</v>
      </c>
      <c r="J28" s="1">
        <f>ROUND(F28+(F28*TabelaPrincipal[[#This Row],[PERCENTUAL MÍNIMO]]), 2)</f>
        <v>8.39</v>
      </c>
      <c r="K28" s="19">
        <v>8.39</v>
      </c>
      <c r="L28" s="18"/>
      <c r="M28" s="26">
        <f>TabelaPrincipal[[#This Row],[LANCE ATUAL]]*TabelaPrincipal[[#This Row],[QTD]]</f>
        <v>8390</v>
      </c>
    </row>
    <row r="29" spans="1:13" x14ac:dyDescent="0.25">
      <c r="A29" s="24">
        <v>122</v>
      </c>
      <c r="B29" s="23" t="str">
        <f>VLOOKUP(TabelaPrincipal[[#This Row],[ITEM]],TabelaModelo,2,FALSE)</f>
        <v>METRONIDAZOL 5MG/ML 100ML INJETÁVEL BOLSA</v>
      </c>
      <c r="C29" s="24" t="str">
        <f>VLOOKUP(TabelaPrincipal[[#This Row],[ITEM]],TabelaModelo,3,FALSE)</f>
        <v>BOLSA</v>
      </c>
      <c r="D29" s="24">
        <f>VLOOKUP(TabelaPrincipal[[#This Row],[ITEM]],TabelaModelo,4,FALSE)</f>
        <v>600</v>
      </c>
      <c r="E29" s="24" t="s">
        <v>240</v>
      </c>
      <c r="F29" s="1">
        <v>6.9</v>
      </c>
      <c r="G29" s="1">
        <f t="shared" si="1"/>
        <v>8.9700000000000006</v>
      </c>
      <c r="H29" s="1">
        <f t="shared" si="2"/>
        <v>5382</v>
      </c>
      <c r="I29" s="4">
        <v>0.2</v>
      </c>
      <c r="J29" s="1">
        <f>ROUND(F29+(F29*TabelaPrincipal[[#This Row],[PERCENTUAL MÍNIMO]]), 2)</f>
        <v>8.2799999999999994</v>
      </c>
      <c r="K29" s="19">
        <v>8.2799999999999994</v>
      </c>
      <c r="L29" s="18"/>
      <c r="M29" s="26">
        <f>TabelaPrincipal[[#This Row],[LANCE ATUAL]]*TabelaPrincipal[[#This Row],[QTD]]</f>
        <v>4968</v>
      </c>
    </row>
    <row r="30" spans="1:13" x14ac:dyDescent="0.25">
      <c r="A30" s="24">
        <v>133</v>
      </c>
      <c r="B30" s="23" t="str">
        <f>VLOOKUP(TabelaPrincipal[[#This Row],[ITEM]],TabelaModelo,2,FALSE)</f>
        <v>OMEPRAZOL 40 MG INJETAVEL</v>
      </c>
      <c r="C30" s="24" t="str">
        <f>VLOOKUP(TabelaPrincipal[[#This Row],[ITEM]],TabelaModelo,3,FALSE)</f>
        <v>FRASCO AMPOLA</v>
      </c>
      <c r="D30" s="24">
        <f>VLOOKUP(TabelaPrincipal[[#This Row],[ITEM]],TabelaModelo,4,FALSE)</f>
        <v>3000</v>
      </c>
      <c r="E30" s="24" t="s">
        <v>239</v>
      </c>
      <c r="F30" s="1">
        <v>9.3000000000000007</v>
      </c>
      <c r="G30" s="1">
        <f t="shared" si="1"/>
        <v>12.09</v>
      </c>
      <c r="H30" s="1">
        <f t="shared" si="2"/>
        <v>36270</v>
      </c>
      <c r="I30" s="4">
        <v>0.2</v>
      </c>
      <c r="J30" s="1">
        <f>ROUND(F30+(F30*TabelaPrincipal[[#This Row],[PERCENTUAL MÍNIMO]]), 2)</f>
        <v>11.16</v>
      </c>
      <c r="K30" s="19">
        <v>11.16</v>
      </c>
      <c r="L30" s="18"/>
      <c r="M30" s="26">
        <f>TabelaPrincipal[[#This Row],[LANCE ATUAL]]*TabelaPrincipal[[#This Row],[QTD]]</f>
        <v>33480</v>
      </c>
    </row>
    <row r="31" spans="1:13" x14ac:dyDescent="0.25">
      <c r="A31" s="24">
        <v>135</v>
      </c>
      <c r="B31" s="23" t="str">
        <f>VLOOKUP(TabelaPrincipal[[#This Row],[ITEM]],TabelaModelo,2,FALSE)</f>
        <v>ONDANSETRONA 8MG AMPOLAS 4ML</v>
      </c>
      <c r="C31" s="24" t="str">
        <f>VLOOKUP(TabelaPrincipal[[#This Row],[ITEM]],TabelaModelo,3,FALSE)</f>
        <v>UNIDADE</v>
      </c>
      <c r="D31" s="24">
        <f>VLOOKUP(TabelaPrincipal[[#This Row],[ITEM]],TabelaModelo,4,FALSE)</f>
        <v>4000</v>
      </c>
      <c r="E31" s="24" t="s">
        <v>233</v>
      </c>
      <c r="F31" s="25">
        <v>2.9</v>
      </c>
      <c r="G31" s="1">
        <f t="shared" si="1"/>
        <v>3.77</v>
      </c>
      <c r="H31" s="1">
        <f t="shared" si="2"/>
        <v>15080</v>
      </c>
      <c r="I31" s="4">
        <v>0.2</v>
      </c>
      <c r="J31" s="1">
        <f>ROUND(F31+(F31*TabelaPrincipal[[#This Row],[PERCENTUAL MÍNIMO]]), 2)</f>
        <v>3.48</v>
      </c>
      <c r="K31" s="19">
        <v>3.48</v>
      </c>
      <c r="L31" s="18"/>
      <c r="M31" s="26">
        <f>TabelaPrincipal[[#This Row],[LANCE ATUAL]]*TabelaPrincipal[[#This Row],[QTD]]</f>
        <v>13920</v>
      </c>
    </row>
    <row r="32" spans="1:13" ht="30" x14ac:dyDescent="0.25">
      <c r="A32" s="24">
        <v>141</v>
      </c>
      <c r="B32" s="23" t="str">
        <f>VLOOKUP(TabelaPrincipal[[#This Row],[ITEM]],TabelaModelo,2,FALSE)</f>
        <v>PIPERACILINA + TAZOBACTAM 4G + 500MG INJETÁVEL FRASCO AMPOLA</v>
      </c>
      <c r="C32" s="24" t="str">
        <f>VLOOKUP(TabelaPrincipal[[#This Row],[ITEM]],TabelaModelo,3,FALSE)</f>
        <v>UNIDADE</v>
      </c>
      <c r="D32" s="24">
        <f>VLOOKUP(TabelaPrincipal[[#This Row],[ITEM]],TabelaModelo,4,FALSE)</f>
        <v>600</v>
      </c>
      <c r="E32" s="24" t="s">
        <v>238</v>
      </c>
      <c r="F32" s="1">
        <v>28</v>
      </c>
      <c r="G32" s="1">
        <f t="shared" si="1"/>
        <v>36.4</v>
      </c>
      <c r="H32" s="1">
        <f t="shared" si="2"/>
        <v>21840</v>
      </c>
      <c r="I32" s="4">
        <v>0.2</v>
      </c>
      <c r="J32" s="1">
        <f>ROUND(F32+(F32*TabelaPrincipal[[#This Row],[PERCENTUAL MÍNIMO]]), 2)</f>
        <v>33.6</v>
      </c>
      <c r="K32" s="19">
        <v>33.6</v>
      </c>
      <c r="L32" s="18"/>
      <c r="M32" s="26">
        <f>TabelaPrincipal[[#This Row],[LANCE ATUAL]]*TabelaPrincipal[[#This Row],[QTD]]</f>
        <v>20160</v>
      </c>
    </row>
    <row r="33" spans="1:13" x14ac:dyDescent="0.25">
      <c r="A33" s="24">
        <v>142</v>
      </c>
      <c r="B33" s="23" t="str">
        <f>VLOOKUP(TabelaPrincipal[[#This Row],[ITEM]],TabelaModelo,2,FALSE)</f>
        <v>POLIVITAMÍNICO COMPLEXO B 2ML</v>
      </c>
      <c r="C33" s="24" t="str">
        <f>VLOOKUP(TabelaPrincipal[[#This Row],[ITEM]],TabelaModelo,3,FALSE)</f>
        <v>UNIDADE</v>
      </c>
      <c r="D33" s="24">
        <f>VLOOKUP(TabelaPrincipal[[#This Row],[ITEM]],TabelaModelo,4,FALSE)</f>
        <v>2000</v>
      </c>
      <c r="E33" s="24" t="s">
        <v>234</v>
      </c>
      <c r="F33" s="1">
        <v>2.99</v>
      </c>
      <c r="G33" s="1">
        <f t="shared" si="1"/>
        <v>3.89</v>
      </c>
      <c r="H33" s="1">
        <f t="shared" si="2"/>
        <v>7780</v>
      </c>
      <c r="I33" s="4">
        <v>0.2</v>
      </c>
      <c r="J33" s="1">
        <f>ROUND(F33+(F33*TabelaPrincipal[[#This Row],[PERCENTUAL MÍNIMO]]), 2)</f>
        <v>3.59</v>
      </c>
      <c r="K33" s="19">
        <v>3.59</v>
      </c>
      <c r="L33" s="18"/>
      <c r="M33" s="26">
        <f>TabelaPrincipal[[#This Row],[LANCE ATUAL]]*TabelaPrincipal[[#This Row],[QTD]]</f>
        <v>7180</v>
      </c>
    </row>
    <row r="34" spans="1:13" x14ac:dyDescent="0.25">
      <c r="A34" s="24">
        <v>143</v>
      </c>
      <c r="B34" s="23" t="str">
        <f>VLOOKUP(TabelaPrincipal[[#This Row],[ITEM]],TabelaModelo,2,FALSE)</f>
        <v>POMADA COLAGENASE + CLORANFENICOL 30 GR</v>
      </c>
      <c r="C34" s="24" t="str">
        <f>VLOOKUP(TabelaPrincipal[[#This Row],[ITEM]],TabelaModelo,3,FALSE)</f>
        <v>TUBO</v>
      </c>
      <c r="D34" s="24">
        <f>VLOOKUP(TabelaPrincipal[[#This Row],[ITEM]],TabelaModelo,4,FALSE)</f>
        <v>200</v>
      </c>
      <c r="E34" s="24" t="s">
        <v>227</v>
      </c>
      <c r="F34" s="25">
        <v>16</v>
      </c>
      <c r="G34" s="1">
        <f t="shared" si="1"/>
        <v>20.8</v>
      </c>
      <c r="H34" s="1">
        <f t="shared" si="2"/>
        <v>4160</v>
      </c>
      <c r="I34" s="4">
        <v>0.2</v>
      </c>
      <c r="J34" s="1">
        <f>ROUND(F34+(F34*TabelaPrincipal[[#This Row],[PERCENTUAL MÍNIMO]]), 2)</f>
        <v>19.2</v>
      </c>
      <c r="K34" s="19">
        <v>19.2</v>
      </c>
      <c r="L34" s="18"/>
      <c r="M34" s="26">
        <f>TabelaPrincipal[[#This Row],[LANCE ATUAL]]*TabelaPrincipal[[#This Row],[QTD]]</f>
        <v>3840</v>
      </c>
    </row>
    <row r="35" spans="1:13" x14ac:dyDescent="0.25">
      <c r="A35" s="24">
        <v>144</v>
      </c>
      <c r="B35" s="23" t="str">
        <f>VLOOKUP(TabelaPrincipal[[#This Row],[ITEM]],TabelaModelo,2,FALSE)</f>
        <v>POMADA NEOMICINA + BACITRACINA 10 G</v>
      </c>
      <c r="C35" s="24" t="str">
        <f>VLOOKUP(TabelaPrincipal[[#This Row],[ITEM]],TabelaModelo,3,FALSE)</f>
        <v>UNIDADE</v>
      </c>
      <c r="D35" s="24">
        <f>VLOOKUP(TabelaPrincipal[[#This Row],[ITEM]],TabelaModelo,4,FALSE)</f>
        <v>1000</v>
      </c>
      <c r="E35" s="24" t="s">
        <v>230</v>
      </c>
      <c r="F35" s="1">
        <v>3.08</v>
      </c>
      <c r="G35" s="1">
        <f t="shared" si="1"/>
        <v>4</v>
      </c>
      <c r="H35" s="1">
        <f t="shared" si="2"/>
        <v>4000</v>
      </c>
      <c r="I35" s="4">
        <v>0.2</v>
      </c>
      <c r="J35" s="1">
        <f>ROUND(F35+(F35*TabelaPrincipal[[#This Row],[PERCENTUAL MÍNIMO]]), 2)</f>
        <v>3.7</v>
      </c>
      <c r="K35" s="19">
        <v>3.7</v>
      </c>
      <c r="L35" s="18"/>
      <c r="M35" s="26">
        <f>TabelaPrincipal[[#This Row],[LANCE ATUAL]]*TabelaPrincipal[[#This Row],[QTD]]</f>
        <v>3700</v>
      </c>
    </row>
    <row r="36" spans="1:13" x14ac:dyDescent="0.25">
      <c r="A36" s="24">
        <v>145</v>
      </c>
      <c r="B36" s="23" t="str">
        <f>VLOOKUP(TabelaPrincipal[[#This Row],[ITEM]],TabelaModelo,2,FALSE)</f>
        <v>POMADA SULFADIAZINA DE PRATA 1% BISNAGA 50G</v>
      </c>
      <c r="C36" s="24" t="str">
        <f>VLOOKUP(TabelaPrincipal[[#This Row],[ITEM]],TabelaModelo,3,FALSE)</f>
        <v>UNIDADE</v>
      </c>
      <c r="D36" s="24">
        <f>VLOOKUP(TabelaPrincipal[[#This Row],[ITEM]],TabelaModelo,4,FALSE)</f>
        <v>200</v>
      </c>
      <c r="E36" s="24" t="s">
        <v>231</v>
      </c>
      <c r="F36" s="1">
        <v>11.4</v>
      </c>
      <c r="G36" s="1">
        <f t="shared" si="1"/>
        <v>14.82</v>
      </c>
      <c r="H36" s="1">
        <f t="shared" si="2"/>
        <v>2964</v>
      </c>
      <c r="I36" s="4">
        <v>0.2</v>
      </c>
      <c r="J36" s="1">
        <f>ROUND(F36+(F36*TabelaPrincipal[[#This Row],[PERCENTUAL MÍNIMO]]), 2)</f>
        <v>13.68</v>
      </c>
      <c r="K36" s="19">
        <v>13.68</v>
      </c>
      <c r="L36" s="18"/>
      <c r="M36" s="26">
        <f>TabelaPrincipal[[#This Row],[LANCE ATUAL]]*TabelaPrincipal[[#This Row],[QTD]]</f>
        <v>2736</v>
      </c>
    </row>
    <row r="37" spans="1:13" x14ac:dyDescent="0.25">
      <c r="A37" s="24">
        <v>154</v>
      </c>
      <c r="B37" s="23" t="str">
        <f>VLOOKUP(TabelaPrincipal[[#This Row],[ITEM]],TabelaModelo,2,FALSE)</f>
        <v>SORO GLISOFIOLÓGICO 500ML SISTEMA FECHADO</v>
      </c>
      <c r="C37" s="24" t="str">
        <f>VLOOKUP(TabelaPrincipal[[#This Row],[ITEM]],TabelaModelo,3,FALSE)</f>
        <v>UNIDADE</v>
      </c>
      <c r="D37" s="24">
        <f>VLOOKUP(TabelaPrincipal[[#This Row],[ITEM]],TabelaModelo,4,FALSE)</f>
        <v>400</v>
      </c>
      <c r="E37" s="24" t="s">
        <v>241</v>
      </c>
      <c r="F37" s="1">
        <v>9.5</v>
      </c>
      <c r="G37" s="1">
        <f t="shared" si="1"/>
        <v>12.35</v>
      </c>
      <c r="H37" s="1">
        <f t="shared" si="2"/>
        <v>4940</v>
      </c>
      <c r="I37" s="4">
        <v>0.2</v>
      </c>
      <c r="J37" s="1">
        <f>ROUND(F37+(F37*TabelaPrincipal[[#This Row],[PERCENTUAL MÍNIMO]]), 2)</f>
        <v>11.4</v>
      </c>
      <c r="K37" s="19">
        <v>11.4</v>
      </c>
      <c r="L37" s="18"/>
      <c r="M37" s="26">
        <f>TabelaPrincipal[[#This Row],[LANCE ATUAL]]*TabelaPrincipal[[#This Row],[QTD]]</f>
        <v>4560</v>
      </c>
    </row>
    <row r="38" spans="1:13" x14ac:dyDescent="0.25">
      <c r="A38" s="24">
        <v>155</v>
      </c>
      <c r="B38" s="23" t="str">
        <f>VLOOKUP(TabelaPrincipal[[#This Row],[ITEM]],TabelaModelo,2,FALSE)</f>
        <v>SORO FISIOLÓGICO 0,9% 100ML SISTEMA FECHADO</v>
      </c>
      <c r="C38" s="24" t="str">
        <f>VLOOKUP(TabelaPrincipal[[#This Row],[ITEM]],TabelaModelo,3,FALSE)</f>
        <v>BOLSA</v>
      </c>
      <c r="D38" s="24">
        <f>VLOOKUP(TabelaPrincipal[[#This Row],[ITEM]],TabelaModelo,4,FALSE)</f>
        <v>10000</v>
      </c>
      <c r="E38" s="24" t="s">
        <v>241</v>
      </c>
      <c r="F38" s="1">
        <v>6.4</v>
      </c>
      <c r="G38" s="1">
        <f t="shared" si="1"/>
        <v>8.32</v>
      </c>
      <c r="H38" s="1">
        <f t="shared" si="2"/>
        <v>83200</v>
      </c>
      <c r="I38" s="4">
        <v>0.2</v>
      </c>
      <c r="J38" s="1">
        <f>ROUND(F38+(F38*TabelaPrincipal[[#This Row],[PERCENTUAL MÍNIMO]]), 2)</f>
        <v>7.68</v>
      </c>
      <c r="K38" s="19">
        <v>7.68</v>
      </c>
      <c r="L38" s="18"/>
      <c r="M38" s="26">
        <f>TabelaPrincipal[[#This Row],[LANCE ATUAL]]*TabelaPrincipal[[#This Row],[QTD]]</f>
        <v>76800</v>
      </c>
    </row>
    <row r="39" spans="1:13" x14ac:dyDescent="0.25">
      <c r="A39" s="24">
        <v>156</v>
      </c>
      <c r="B39" s="23" t="str">
        <f>VLOOKUP(TabelaPrincipal[[#This Row],[ITEM]],TabelaModelo,2,FALSE)</f>
        <v>SORO FISIOLÓGICO 0,9% 250ML SISTEMA FECHADO</v>
      </c>
      <c r="C39" s="24" t="str">
        <f>VLOOKUP(TabelaPrincipal[[#This Row],[ITEM]],TabelaModelo,3,FALSE)</f>
        <v>BOLSA</v>
      </c>
      <c r="D39" s="24">
        <f>VLOOKUP(TabelaPrincipal[[#This Row],[ITEM]],TabelaModelo,4,FALSE)</f>
        <v>6000</v>
      </c>
      <c r="E39" s="24" t="s">
        <v>241</v>
      </c>
      <c r="F39" s="1">
        <v>7.2</v>
      </c>
      <c r="G39" s="1">
        <f t="shared" si="1"/>
        <v>9.36</v>
      </c>
      <c r="H39" s="1">
        <f t="shared" si="2"/>
        <v>56160</v>
      </c>
      <c r="I39" s="4">
        <v>0.2</v>
      </c>
      <c r="J39" s="1">
        <f>ROUND(F39+(F39*TabelaPrincipal[[#This Row],[PERCENTUAL MÍNIMO]]), 2)</f>
        <v>8.64</v>
      </c>
      <c r="K39" s="19">
        <v>8.64</v>
      </c>
      <c r="L39" s="18"/>
      <c r="M39" s="26">
        <f>TabelaPrincipal[[#This Row],[LANCE ATUAL]]*TabelaPrincipal[[#This Row],[QTD]]</f>
        <v>51840</v>
      </c>
    </row>
    <row r="40" spans="1:13" x14ac:dyDescent="0.25">
      <c r="A40" s="24">
        <v>157</v>
      </c>
      <c r="B40" s="23" t="str">
        <f>VLOOKUP(TabelaPrincipal[[#This Row],[ITEM]],TabelaModelo,2,FALSE)</f>
        <v>SORO FISIOLÓGICO 0,9% 500ML SISTEMA FECHADO</v>
      </c>
      <c r="C40" s="24" t="str">
        <f>VLOOKUP(TabelaPrincipal[[#This Row],[ITEM]],TabelaModelo,3,FALSE)</f>
        <v>BOLSA</v>
      </c>
      <c r="D40" s="24">
        <f>VLOOKUP(TabelaPrincipal[[#This Row],[ITEM]],TabelaModelo,4,FALSE)</f>
        <v>8000</v>
      </c>
      <c r="E40" s="24" t="s">
        <v>240</v>
      </c>
      <c r="F40" s="1">
        <v>7.6</v>
      </c>
      <c r="G40" s="1">
        <f t="shared" si="1"/>
        <v>9.8800000000000008</v>
      </c>
      <c r="H40" s="1">
        <f t="shared" si="2"/>
        <v>79040</v>
      </c>
      <c r="I40" s="4">
        <v>0.2</v>
      </c>
      <c r="J40" s="1">
        <f>ROUND(F40+(F40*TabelaPrincipal[[#This Row],[PERCENTUAL MÍNIMO]]), 2)</f>
        <v>9.1199999999999992</v>
      </c>
      <c r="K40" s="19">
        <v>9.1199999999999992</v>
      </c>
      <c r="L40" s="18"/>
      <c r="M40" s="26">
        <f>TabelaPrincipal[[#This Row],[LANCE ATUAL]]*TabelaPrincipal[[#This Row],[QTD]]</f>
        <v>72960</v>
      </c>
    </row>
    <row r="41" spans="1:13" x14ac:dyDescent="0.25">
      <c r="A41" s="24">
        <v>158</v>
      </c>
      <c r="B41" s="23" t="str">
        <f>VLOOKUP(TabelaPrincipal[[#This Row],[ITEM]],TabelaModelo,2,FALSE)</f>
        <v>SORO FISIOLÓGICO 0,9% 1000ML SISTEMA FECHADO</v>
      </c>
      <c r="C41" s="24" t="str">
        <f>VLOOKUP(TabelaPrincipal[[#This Row],[ITEM]],TabelaModelo,3,FALSE)</f>
        <v>BOLSA</v>
      </c>
      <c r="D41" s="24">
        <f>VLOOKUP(TabelaPrincipal[[#This Row],[ITEM]],TabelaModelo,4,FALSE)</f>
        <v>2000</v>
      </c>
      <c r="E41" s="24" t="s">
        <v>241</v>
      </c>
      <c r="F41" s="1">
        <v>10.9</v>
      </c>
      <c r="G41" s="1">
        <f t="shared" si="1"/>
        <v>14.17</v>
      </c>
      <c r="H41" s="1">
        <f t="shared" si="2"/>
        <v>28340</v>
      </c>
      <c r="I41" s="4">
        <v>0.2</v>
      </c>
      <c r="J41" s="1">
        <f>ROUND(F41+(F41*TabelaPrincipal[[#This Row],[PERCENTUAL MÍNIMO]]), 2)</f>
        <v>13.08</v>
      </c>
      <c r="K41" s="19">
        <v>13.08</v>
      </c>
      <c r="L41" s="18"/>
      <c r="M41" s="26">
        <f>TabelaPrincipal[[#This Row],[LANCE ATUAL]]*TabelaPrincipal[[#This Row],[QTD]]</f>
        <v>26160</v>
      </c>
    </row>
    <row r="42" spans="1:13" x14ac:dyDescent="0.25">
      <c r="A42" s="24">
        <v>159</v>
      </c>
      <c r="B42" s="23" t="str">
        <f>VLOOKUP(TabelaPrincipal[[#This Row],[ITEM]],TabelaModelo,2,FALSE)</f>
        <v>SORO GLICOSADO 5% 500 ML SISTEMA FECHADO</v>
      </c>
      <c r="C42" s="24" t="str">
        <f>VLOOKUP(TabelaPrincipal[[#This Row],[ITEM]],TabelaModelo,3,FALSE)</f>
        <v>UNIDADE</v>
      </c>
      <c r="D42" s="24">
        <f>VLOOKUP(TabelaPrincipal[[#This Row],[ITEM]],TabelaModelo,4,FALSE)</f>
        <v>1000</v>
      </c>
      <c r="E42" s="24" t="s">
        <v>240</v>
      </c>
      <c r="F42" s="1">
        <v>9.9</v>
      </c>
      <c r="G42" s="1">
        <f t="shared" si="1"/>
        <v>12.87</v>
      </c>
      <c r="H42" s="1">
        <f t="shared" si="2"/>
        <v>12870</v>
      </c>
      <c r="I42" s="4">
        <v>0.2</v>
      </c>
      <c r="J42" s="1">
        <f>ROUND(F42+(F42*TabelaPrincipal[[#This Row],[PERCENTUAL MÍNIMO]]), 2)</f>
        <v>11.88</v>
      </c>
      <c r="K42" s="19">
        <v>11.88</v>
      </c>
      <c r="L42" s="18"/>
      <c r="M42" s="26">
        <f>TabelaPrincipal[[#This Row],[LANCE ATUAL]]*TabelaPrincipal[[#This Row],[QTD]]</f>
        <v>11880</v>
      </c>
    </row>
    <row r="43" spans="1:13" ht="30" x14ac:dyDescent="0.25">
      <c r="A43" s="24">
        <v>162</v>
      </c>
      <c r="B43" s="23" t="str">
        <f>VLOOKUP(TabelaPrincipal[[#This Row],[ITEM]],TabelaModelo,2,FALSE)</f>
        <v>SORO RINGER COM LACTADO 500ML SISTEMA FECHADO</v>
      </c>
      <c r="C43" s="24" t="str">
        <f>VLOOKUP(TabelaPrincipal[[#This Row],[ITEM]],TabelaModelo,3,FALSE)</f>
        <v>UNIDADE</v>
      </c>
      <c r="D43" s="24">
        <f>VLOOKUP(TabelaPrincipal[[#This Row],[ITEM]],TabelaModelo,4,FALSE)</f>
        <v>1500</v>
      </c>
      <c r="E43" s="24" t="s">
        <v>241</v>
      </c>
      <c r="F43" s="1">
        <v>9.9</v>
      </c>
      <c r="G43" s="1">
        <f t="shared" si="1"/>
        <v>12.87</v>
      </c>
      <c r="H43" s="1">
        <f t="shared" si="2"/>
        <v>19305</v>
      </c>
      <c r="I43" s="4">
        <v>0.2</v>
      </c>
      <c r="J43" s="1">
        <f>ROUND(F43+(F43*TabelaPrincipal[[#This Row],[PERCENTUAL MÍNIMO]]), 2)</f>
        <v>11.88</v>
      </c>
      <c r="K43" s="19">
        <v>11.88</v>
      </c>
      <c r="L43" s="18"/>
      <c r="M43" s="26">
        <f>TabelaPrincipal[[#This Row],[LANCE ATUAL]]*TabelaPrincipal[[#This Row],[QTD]]</f>
        <v>17820</v>
      </c>
    </row>
    <row r="44" spans="1:13" x14ac:dyDescent="0.25">
      <c r="A44" s="24">
        <v>163</v>
      </c>
      <c r="B44" s="23" t="str">
        <f>VLOOKUP(TabelaPrincipal[[#This Row],[ITEM]],TabelaModelo,2,FALSE)</f>
        <v>SULFATO DE ATROPINA 0,250 MG/ML</v>
      </c>
      <c r="C44" s="24" t="str">
        <f>VLOOKUP(TabelaPrincipal[[#This Row],[ITEM]],TabelaModelo,3,FALSE)</f>
        <v>AMPOLA</v>
      </c>
      <c r="D44" s="24">
        <f>VLOOKUP(TabelaPrincipal[[#This Row],[ITEM]],TabelaModelo,4,FALSE)</f>
        <v>800</v>
      </c>
      <c r="E44" s="24" t="s">
        <v>232</v>
      </c>
      <c r="F44" s="1">
        <v>2.9</v>
      </c>
      <c r="G44" s="1">
        <f t="shared" si="1"/>
        <v>3.77</v>
      </c>
      <c r="H44" s="1">
        <f t="shared" si="2"/>
        <v>3016</v>
      </c>
      <c r="I44" s="4">
        <v>0.2</v>
      </c>
      <c r="J44" s="1">
        <f>ROUND(F44+(F44*TabelaPrincipal[[#This Row],[PERCENTUAL MÍNIMO]]), 2)</f>
        <v>3.48</v>
      </c>
      <c r="K44" s="19">
        <v>3.48</v>
      </c>
      <c r="L44" s="18"/>
      <c r="M44" s="26">
        <f>TabelaPrincipal[[#This Row],[LANCE ATUAL]]*TabelaPrincipal[[#This Row],[QTD]]</f>
        <v>2784</v>
      </c>
    </row>
    <row r="45" spans="1:13" ht="30" x14ac:dyDescent="0.25">
      <c r="A45" s="24">
        <v>169</v>
      </c>
      <c r="B45" s="23" t="str">
        <f>VLOOKUP(TabelaPrincipal[[#This Row],[ITEM]],TabelaModelo,2,FALSE)</f>
        <v>SULFATO DE SALBUTAMOL 100MCG/DOSE AEROSOL 200 DOSES</v>
      </c>
      <c r="C45" s="24" t="str">
        <f>VLOOKUP(TabelaPrincipal[[#This Row],[ITEM]],TabelaModelo,3,FALSE)</f>
        <v>FRASCO</v>
      </c>
      <c r="D45" s="24">
        <f>VLOOKUP(TabelaPrincipal[[#This Row],[ITEM]],TabelaModelo,4,FALSE)</f>
        <v>100</v>
      </c>
      <c r="E45" s="24" t="s">
        <v>228</v>
      </c>
      <c r="F45" s="1">
        <v>16.52</v>
      </c>
      <c r="G45" s="1">
        <f t="shared" si="1"/>
        <v>21.48</v>
      </c>
      <c r="H45" s="1">
        <f t="shared" si="2"/>
        <v>2148</v>
      </c>
      <c r="I45" s="4">
        <v>0.2</v>
      </c>
      <c r="J45" s="1">
        <f>ROUND(F45+(F45*TabelaPrincipal[[#This Row],[PERCENTUAL MÍNIMO]]), 2)</f>
        <v>19.82</v>
      </c>
      <c r="K45" s="19">
        <v>19.82</v>
      </c>
      <c r="L45" s="18"/>
      <c r="M45" s="26">
        <f>TabelaPrincipal[[#This Row],[LANCE ATUAL]]*TabelaPrincipal[[#This Row],[QTD]]</f>
        <v>1982</v>
      </c>
    </row>
    <row r="46" spans="1:13" x14ac:dyDescent="0.25">
      <c r="A46" s="24">
        <v>171</v>
      </c>
      <c r="B46" s="23" t="str">
        <f>VLOOKUP(TabelaPrincipal[[#This Row],[ITEM]],TabelaModelo,2,FALSE)</f>
        <v>TENOXICAN 20 MG FR/AP</v>
      </c>
      <c r="C46" s="24" t="str">
        <f>VLOOKUP(TabelaPrincipal[[#This Row],[ITEM]],TabelaModelo,3,FALSE)</f>
        <v>AMPOLA</v>
      </c>
      <c r="D46" s="24">
        <f>VLOOKUP(TabelaPrincipal[[#This Row],[ITEM]],TabelaModelo,4,FALSE)</f>
        <v>2000</v>
      </c>
      <c r="E46" s="24" t="s">
        <v>227</v>
      </c>
      <c r="F46" s="1">
        <v>9</v>
      </c>
      <c r="G46" s="1">
        <f t="shared" si="1"/>
        <v>11.7</v>
      </c>
      <c r="H46" s="1">
        <f t="shared" si="2"/>
        <v>23400</v>
      </c>
      <c r="I46" s="4">
        <v>0.2</v>
      </c>
      <c r="J46" s="1">
        <f>ROUND(F46+(F46*TabelaPrincipal[[#This Row],[PERCENTUAL MÍNIMO]]), 2)</f>
        <v>10.8</v>
      </c>
      <c r="K46" s="19">
        <v>10.8</v>
      </c>
      <c r="L46" s="18"/>
      <c r="M46" s="26">
        <f>TabelaPrincipal[[#This Row],[LANCE ATUAL]]*TabelaPrincipal[[#This Row],[QTD]]</f>
        <v>21600</v>
      </c>
    </row>
    <row r="47" spans="1:13" x14ac:dyDescent="0.25">
      <c r="A47" s="24">
        <v>173</v>
      </c>
      <c r="B47" s="23" t="str">
        <f>VLOOKUP(TabelaPrincipal[[#This Row],[ITEM]],TabelaModelo,2,FALSE)</f>
        <v>TRAMANDOL 50 MG/ML AMPOLA 2ML</v>
      </c>
      <c r="C47" s="24" t="str">
        <f>VLOOKUP(TabelaPrincipal[[#This Row],[ITEM]],TabelaModelo,3,FALSE)</f>
        <v>AMPOLA</v>
      </c>
      <c r="D47" s="24">
        <f>VLOOKUP(TabelaPrincipal[[#This Row],[ITEM]],TabelaModelo,4,FALSE)</f>
        <v>4000</v>
      </c>
      <c r="E47" s="24" t="s">
        <v>228</v>
      </c>
      <c r="F47" s="1">
        <v>2.5</v>
      </c>
      <c r="G47" s="1">
        <f t="shared" si="1"/>
        <v>3.25</v>
      </c>
      <c r="H47" s="1">
        <f t="shared" si="2"/>
        <v>13000</v>
      </c>
      <c r="I47" s="4">
        <v>0.2</v>
      </c>
      <c r="J47" s="1">
        <f>ROUND(F47+(F47*TabelaPrincipal[[#This Row],[PERCENTUAL MÍNIMO]]), 2)</f>
        <v>3</v>
      </c>
      <c r="K47" s="19">
        <v>3.01</v>
      </c>
      <c r="L47" s="18"/>
      <c r="M47" s="26">
        <f>TabelaPrincipal[[#This Row],[LANCE ATUAL]]*TabelaPrincipal[[#This Row],[QTD]]</f>
        <v>12040</v>
      </c>
    </row>
    <row r="48" spans="1:13" ht="30" x14ac:dyDescent="0.25">
      <c r="A48" s="24">
        <v>182</v>
      </c>
      <c r="B48" s="23" t="str">
        <f>VLOOKUP(TabelaPrincipal[[#This Row],[ITEM]],TabelaModelo,2,FALSE)</f>
        <v>DIPIRONA SÓDICA 500 MILIGRAMAS/MILILITRO, SOLUÇÃO INJETÁVEL, AMPOLA COM 02 ML</v>
      </c>
      <c r="C48" s="24" t="str">
        <f>VLOOKUP(TabelaPrincipal[[#This Row],[ITEM]],TabelaModelo,3,FALSE)</f>
        <v>AMPOLA</v>
      </c>
      <c r="D48" s="24">
        <f>VLOOKUP(TabelaPrincipal[[#This Row],[ITEM]],TabelaModelo,4,FALSE)</f>
        <v>1000</v>
      </c>
      <c r="E48" s="24" t="s">
        <v>228</v>
      </c>
      <c r="F48" s="1">
        <v>1.6</v>
      </c>
      <c r="G48" s="1">
        <f t="shared" si="1"/>
        <v>2.08</v>
      </c>
      <c r="H48" s="1">
        <f t="shared" si="2"/>
        <v>2080</v>
      </c>
      <c r="I48" s="4">
        <v>0.2</v>
      </c>
      <c r="J48" s="1">
        <f>ROUND(F48+(F48*TabelaPrincipal[[#This Row],[PERCENTUAL MÍNIMO]]), 2)</f>
        <v>1.92</v>
      </c>
      <c r="K48" s="19">
        <v>1.92</v>
      </c>
      <c r="L48" s="18"/>
      <c r="M48" s="26">
        <f>TabelaPrincipal[[#This Row],[LANCE ATUAL]]*TabelaPrincipal[[#This Row],[QTD]]</f>
        <v>1920</v>
      </c>
    </row>
    <row r="49" spans="1:13" ht="30" x14ac:dyDescent="0.25">
      <c r="A49" s="24">
        <v>184</v>
      </c>
      <c r="B49" s="23" t="str">
        <f>VLOOKUP(TabelaPrincipal[[#This Row],[ITEM]],TabelaModelo,2,FALSE)</f>
        <v>AMOXICILINA+CLAVULANATO 1G+200MG PÓ PARA SOLUÇÃO INJETAVEL INTRAVENOSO</v>
      </c>
      <c r="C49" s="24" t="str">
        <f>VLOOKUP(TabelaPrincipal[[#This Row],[ITEM]],TabelaModelo,3,FALSE)</f>
        <v>AMPOLA</v>
      </c>
      <c r="D49" s="24">
        <f>VLOOKUP(TabelaPrincipal[[#This Row],[ITEM]],TabelaModelo,4,FALSE)</f>
        <v>800</v>
      </c>
      <c r="E49" s="24" t="s">
        <v>239</v>
      </c>
      <c r="F49" s="1">
        <v>18</v>
      </c>
      <c r="G49" s="1">
        <f t="shared" si="1"/>
        <v>23.4</v>
      </c>
      <c r="H49" s="1">
        <f t="shared" si="2"/>
        <v>18720</v>
      </c>
      <c r="I49" s="4">
        <v>0.2</v>
      </c>
      <c r="J49" s="1">
        <f>ROUND(F49+(F49*TabelaPrincipal[[#This Row],[PERCENTUAL MÍNIMO]]), 2)</f>
        <v>21.6</v>
      </c>
      <c r="K49" s="19">
        <v>21.6</v>
      </c>
      <c r="L49" s="18"/>
      <c r="M49" s="26">
        <f>TabelaPrincipal[[#This Row],[LANCE ATUAL]]*TabelaPrincipal[[#This Row],[QTD]]</f>
        <v>17280</v>
      </c>
    </row>
    <row r="50" spans="1:13" ht="30" x14ac:dyDescent="0.25">
      <c r="A50" s="24">
        <v>190</v>
      </c>
      <c r="B50" s="23" t="str">
        <f>VLOOKUP(TabelaPrincipal[[#This Row],[ITEM]],TabelaModelo,2,FALSE)</f>
        <v>CLORIDRATO DE CLONIDINA 150MCG/ML SOL INJETAVEL 1ML</v>
      </c>
      <c r="C50" s="24" t="str">
        <f>VLOOKUP(TabelaPrincipal[[#This Row],[ITEM]],TabelaModelo,3,FALSE)</f>
        <v>AMPOLA</v>
      </c>
      <c r="D50" s="24">
        <f>VLOOKUP(TabelaPrincipal[[#This Row],[ITEM]],TabelaModelo,4,FALSE)</f>
        <v>120</v>
      </c>
      <c r="E50" s="24" t="s">
        <v>227</v>
      </c>
      <c r="F50" s="1">
        <v>11</v>
      </c>
      <c r="G50" s="1">
        <f t="shared" si="1"/>
        <v>14.3</v>
      </c>
      <c r="H50" s="1">
        <f t="shared" si="2"/>
        <v>1716</v>
      </c>
      <c r="I50" s="4">
        <v>0.2</v>
      </c>
      <c r="J50" s="1">
        <f>ROUND(F50+(F50*TabelaPrincipal[[#This Row],[PERCENTUAL MÍNIMO]]), 2)</f>
        <v>13.2</v>
      </c>
      <c r="K50" s="19">
        <v>13.2</v>
      </c>
      <c r="L50" s="18"/>
      <c r="M50" s="26">
        <f>TabelaPrincipal[[#This Row],[LANCE ATUAL]]*TabelaPrincipal[[#This Row],[QTD]]</f>
        <v>1584</v>
      </c>
    </row>
    <row r="51" spans="1:13" ht="30" x14ac:dyDescent="0.25">
      <c r="A51" s="24">
        <v>191</v>
      </c>
      <c r="B51" s="23" t="str">
        <f>VLOOKUP(TabelaPrincipal[[#This Row],[ITEM]],TabelaModelo,2,FALSE)</f>
        <v>CETOPROFENO 100MG INJETAVEL INTRAVENOSO</v>
      </c>
      <c r="C51" s="24" t="str">
        <f>VLOOKUP(TabelaPrincipal[[#This Row],[ITEM]],TabelaModelo,3,FALSE)</f>
        <v>AMPOLA</v>
      </c>
      <c r="D51" s="24">
        <f>VLOOKUP(TabelaPrincipal[[#This Row],[ITEM]],TabelaModelo,4,FALSE)</f>
        <v>1000</v>
      </c>
      <c r="E51" s="23" t="s">
        <v>242</v>
      </c>
      <c r="F51" s="1">
        <v>5.9</v>
      </c>
      <c r="G51" s="1">
        <f t="shared" si="1"/>
        <v>7.67</v>
      </c>
      <c r="H51" s="1">
        <f t="shared" si="2"/>
        <v>7670</v>
      </c>
      <c r="I51" s="4">
        <v>0.2</v>
      </c>
      <c r="J51" s="1">
        <f>ROUND(F51+(F51*TabelaPrincipal[[#This Row],[PERCENTUAL MÍNIMO]]), 2)</f>
        <v>7.08</v>
      </c>
      <c r="K51" s="19">
        <v>7.08</v>
      </c>
      <c r="L51" s="18"/>
      <c r="M51" s="26">
        <f>TabelaPrincipal[[#This Row],[LANCE ATUAL]]*TabelaPrincipal[[#This Row],[QTD]]</f>
        <v>7080</v>
      </c>
    </row>
    <row r="52" spans="1:13" x14ac:dyDescent="0.25">
      <c r="A52" s="24">
        <v>195</v>
      </c>
      <c r="B52" s="23" t="str">
        <f>VLOOKUP(TabelaPrincipal[[#This Row],[ITEM]],TabelaModelo,2,FALSE)</f>
        <v>CEFTRIAXONA 1G IM/IV</v>
      </c>
      <c r="C52" s="24" t="str">
        <f>VLOOKUP(TabelaPrincipal[[#This Row],[ITEM]],TabelaModelo,3,FALSE)</f>
        <v>AMPOLA</v>
      </c>
      <c r="D52" s="24">
        <f>VLOOKUP(TabelaPrincipal[[#This Row],[ITEM]],TabelaModelo,4,FALSE)</f>
        <v>1000</v>
      </c>
      <c r="E52" s="24" t="s">
        <v>243</v>
      </c>
      <c r="F52" s="1">
        <v>9</v>
      </c>
      <c r="G52" s="1">
        <f t="shared" si="1"/>
        <v>11.7</v>
      </c>
      <c r="H52" s="1">
        <f t="shared" si="2"/>
        <v>11700</v>
      </c>
      <c r="I52" s="4">
        <v>0.2</v>
      </c>
      <c r="J52" s="1">
        <f>ROUND(F52+(F52*TabelaPrincipal[[#This Row],[PERCENTUAL MÍNIMO]]), 2)</f>
        <v>10.8</v>
      </c>
      <c r="K52" s="19">
        <v>10.8</v>
      </c>
      <c r="L52" s="18"/>
      <c r="M52" s="26">
        <f>TabelaPrincipal[[#This Row],[LANCE ATUAL]]*TabelaPrincipal[[#This Row],[QTD]]</f>
        <v>10800</v>
      </c>
    </row>
  </sheetData>
  <conditionalFormatting sqref="K2:K52">
    <cfRule type="expression" dxfId="2" priority="2">
      <formula>$K2&lt;$J2</formula>
    </cfRule>
  </conditionalFormatting>
  <conditionalFormatting sqref="A2:L52">
    <cfRule type="expression" dxfId="1" priority="3">
      <formula>$L2="Vitória"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53"/>
  <sheetViews>
    <sheetView topLeftCell="A46" workbookViewId="0">
      <selection activeCell="F56" sqref="F56"/>
    </sheetView>
  </sheetViews>
  <sheetFormatPr defaultRowHeight="15" x14ac:dyDescent="0.25"/>
  <cols>
    <col min="1" max="1" width="4.85546875" bestFit="1" customWidth="1"/>
    <col min="2" max="2" width="50.7109375" style="22" customWidth="1"/>
    <col min="3" max="3" width="8.85546875" bestFit="1" customWidth="1"/>
    <col min="4" max="4" width="14.140625" bestFit="1" customWidth="1"/>
    <col min="5" max="5" width="12.7109375" bestFit="1" customWidth="1"/>
    <col min="6" max="6" width="13.140625" bestFit="1" customWidth="1"/>
    <col min="7" max="7" width="16.42578125" bestFit="1" customWidth="1"/>
    <col min="8" max="8" width="66.140625" bestFit="1" customWidth="1"/>
  </cols>
  <sheetData>
    <row r="1" spans="1:8" ht="25.5" x14ac:dyDescent="0.25">
      <c r="A1" s="5" t="s">
        <v>0</v>
      </c>
      <c r="B1" s="16" t="s">
        <v>5</v>
      </c>
      <c r="C1" s="6" t="s">
        <v>1</v>
      </c>
      <c r="D1" s="6" t="s">
        <v>2</v>
      </c>
      <c r="E1" s="6" t="s">
        <v>6</v>
      </c>
      <c r="F1" s="16" t="s">
        <v>8</v>
      </c>
      <c r="G1" s="7" t="s">
        <v>3</v>
      </c>
      <c r="H1" s="6" t="s">
        <v>9</v>
      </c>
    </row>
    <row r="2" spans="1:8" x14ac:dyDescent="0.25">
      <c r="A2" s="8">
        <f>TabelaPrincipal[[#This Row],[ITEM]]</f>
        <v>4</v>
      </c>
      <c r="B2" s="9" t="str">
        <f>TabelaPrincipal[[#This Row],[DESCRIÇÃO]]</f>
        <v>ÁCIDO ASCÓRBICO 100MG/MLIV/IM 5ML SOLUÇÃO INJETÁVEL</v>
      </c>
      <c r="C2" s="10" t="str">
        <f>TabelaPrincipal[[#This Row],[UND]]</f>
        <v>AMPOLA</v>
      </c>
      <c r="D2" s="9" t="e">
        <f>#REF!</f>
        <v>#REF!</v>
      </c>
      <c r="E2" s="9" t="str">
        <f>TabelaPrincipal[[#This Row],[MARCA]]</f>
        <v>Farmace</v>
      </c>
      <c r="F2" s="11">
        <f>TabelaPrincipal[[#This Row],[CUSTO + 30%]]</f>
        <v>4.42</v>
      </c>
      <c r="G2" s="12">
        <f>TabelaPrincipal[[#This Row],[VALOR TOTAL]]</f>
        <v>884</v>
      </c>
      <c r="H2" s="10"/>
    </row>
    <row r="3" spans="1:8" x14ac:dyDescent="0.25">
      <c r="A3" s="8">
        <f>TabelaPrincipal[[#This Row],[ITEM]]</f>
        <v>5</v>
      </c>
      <c r="B3" s="9" t="str">
        <f>TabelaPrincipal[[#This Row],[DESCRIÇÃO]]</f>
        <v>ACIDO TRANEXAMICO 50MG/ML 5ML</v>
      </c>
      <c r="C3" s="10" t="str">
        <f>TabelaPrincipal[[#This Row],[UND]]</f>
        <v>AMPOLA</v>
      </c>
      <c r="D3" s="9" t="e">
        <f>#REF!</f>
        <v>#REF!</v>
      </c>
      <c r="E3" s="9" t="str">
        <f>TabelaPrincipal[[#This Row],[MARCA]]</f>
        <v>Hipolabor</v>
      </c>
      <c r="F3" s="11">
        <f>TabelaPrincipal[[#This Row],[CUSTO + 30%]]</f>
        <v>7.15</v>
      </c>
      <c r="G3" s="12">
        <f>TabelaPrincipal[[#This Row],[VALOR TOTAL]]</f>
        <v>3575</v>
      </c>
      <c r="H3" s="10"/>
    </row>
    <row r="4" spans="1:8" x14ac:dyDescent="0.25">
      <c r="A4" s="8">
        <f>TabelaPrincipal[[#This Row],[ITEM]]</f>
        <v>6</v>
      </c>
      <c r="B4" s="9" t="str">
        <f>TabelaPrincipal[[#This Row],[DESCRIÇÃO]]</f>
        <v>ADRENALINA 1MG/ML (HEMITARTARATO DE EPINEFRINA) 1ML</v>
      </c>
      <c r="C4" s="10" t="str">
        <f>TabelaPrincipal[[#This Row],[UND]]</f>
        <v>AMPOLA</v>
      </c>
      <c r="D4" s="9" t="e">
        <f>#REF!</f>
        <v>#REF!</v>
      </c>
      <c r="E4" s="9" t="str">
        <f>TabelaPrincipal[[#This Row],[MARCA]]</f>
        <v>Hypofarma</v>
      </c>
      <c r="F4" s="11">
        <f>TabelaPrincipal[[#This Row],[CUSTO + 30%]]</f>
        <v>2.99</v>
      </c>
      <c r="G4" s="12">
        <f>TabelaPrincipal[[#This Row],[VALOR TOTAL]]</f>
        <v>2541.5</v>
      </c>
      <c r="H4" s="10"/>
    </row>
    <row r="5" spans="1:8" x14ac:dyDescent="0.25">
      <c r="A5" s="8">
        <f>TabelaPrincipal[[#This Row],[ITEM]]</f>
        <v>7</v>
      </c>
      <c r="B5" s="9" t="str">
        <f>TabelaPrincipal[[#This Row],[DESCRIÇÃO]]</f>
        <v>AGUA DESTILADA PARA INJECAO 10ML</v>
      </c>
      <c r="C5" s="10" t="str">
        <f>TabelaPrincipal[[#This Row],[UND]]</f>
        <v>AMPOLA</v>
      </c>
      <c r="D5" s="9" t="e">
        <f>#REF!</f>
        <v>#REF!</v>
      </c>
      <c r="E5" s="9" t="str">
        <f>TabelaPrincipal[[#This Row],[MARCA]]</f>
        <v>Isofarma</v>
      </c>
      <c r="F5" s="11">
        <f>TabelaPrincipal[[#This Row],[CUSTO + 30%]]</f>
        <v>0.65</v>
      </c>
      <c r="G5" s="12">
        <f>TabelaPrincipal[[#This Row],[VALOR TOTAL]]</f>
        <v>6500</v>
      </c>
      <c r="H5" s="10"/>
    </row>
    <row r="6" spans="1:8" x14ac:dyDescent="0.25">
      <c r="A6" s="8">
        <f>TabelaPrincipal[[#This Row],[ITEM]]</f>
        <v>9</v>
      </c>
      <c r="B6" s="9" t="str">
        <f>TabelaPrincipal[[#This Row],[DESCRIÇÃO]]</f>
        <v>AMINOFILINA 24MG 10ML</v>
      </c>
      <c r="C6" s="10" t="str">
        <f>TabelaPrincipal[[#This Row],[UND]]</f>
        <v>AMPOLA</v>
      </c>
      <c r="D6" s="9" t="e">
        <f>#REF!</f>
        <v>#REF!</v>
      </c>
      <c r="E6" s="9" t="str">
        <f>TabelaPrincipal[[#This Row],[MARCA]]</f>
        <v>Hipolabor</v>
      </c>
      <c r="F6" s="11">
        <f>TabelaPrincipal[[#This Row],[CUSTO + 30%]]</f>
        <v>12.87</v>
      </c>
      <c r="G6" s="12">
        <f>TabelaPrincipal[[#This Row],[VALOR TOTAL]]</f>
        <v>2574</v>
      </c>
      <c r="H6" s="10"/>
    </row>
    <row r="7" spans="1:8" x14ac:dyDescent="0.25">
      <c r="A7" s="8">
        <f>TabelaPrincipal[[#This Row],[ITEM]]</f>
        <v>10</v>
      </c>
      <c r="B7" s="9" t="str">
        <f>TabelaPrincipal[[#This Row],[DESCRIÇÃO]]</f>
        <v>AMOXICILINA + CLAV. DE POTASSIO 250MG/62,5MG 75ML</v>
      </c>
      <c r="C7" s="10" t="str">
        <f>TabelaPrincipal[[#This Row],[UND]]</f>
        <v>FRASCO</v>
      </c>
      <c r="D7" s="9" t="e">
        <f>#REF!</f>
        <v>#REF!</v>
      </c>
      <c r="E7" s="9" t="str">
        <f>TabelaPrincipal[[#This Row],[MARCA]]</f>
        <v>EMS</v>
      </c>
      <c r="F7" s="11">
        <f>TabelaPrincipal[[#This Row],[CUSTO + 30%]]</f>
        <v>76.7</v>
      </c>
      <c r="G7" s="12">
        <f>TabelaPrincipal[[#This Row],[VALOR TOTAL]]</f>
        <v>4602</v>
      </c>
      <c r="H7" s="10"/>
    </row>
    <row r="8" spans="1:8" x14ac:dyDescent="0.25">
      <c r="A8" s="8">
        <f>TabelaPrincipal[[#This Row],[ITEM]]</f>
        <v>20</v>
      </c>
      <c r="B8" s="9" t="str">
        <f>TabelaPrincipal[[#This Row],[DESCRIÇÃO]]</f>
        <v>BENZILPENICILINA BENZATINA 1.200.000 UI</v>
      </c>
      <c r="C8" s="10" t="str">
        <f>TabelaPrincipal[[#This Row],[UND]]</f>
        <v>FRASCO</v>
      </c>
      <c r="D8" s="9" t="e">
        <f>#REF!</f>
        <v>#REF!</v>
      </c>
      <c r="E8" s="9" t="str">
        <f>TabelaPrincipal[[#This Row],[MARCA]]</f>
        <v>Teuto</v>
      </c>
      <c r="F8" s="11">
        <f>TabelaPrincipal[[#This Row],[CUSTO + 30%]]</f>
        <v>12.35</v>
      </c>
      <c r="G8" s="12">
        <f>TabelaPrincipal[[#This Row],[VALOR TOTAL]]</f>
        <v>17290</v>
      </c>
      <c r="H8" s="10"/>
    </row>
    <row r="9" spans="1:8" ht="25.5" x14ac:dyDescent="0.25">
      <c r="A9" s="8">
        <f>TabelaPrincipal[[#This Row],[ITEM]]</f>
        <v>26</v>
      </c>
      <c r="B9" s="9" t="str">
        <f>TabelaPrincipal[[#This Row],[DESCRIÇÃO]]</f>
        <v>BUTILBROMETO DE ESCOPOLAMINA 4MG/ML + DIPIRONA SÓDICA 500MG/ML 5ML</v>
      </c>
      <c r="C9" s="10" t="str">
        <f>TabelaPrincipal[[#This Row],[UND]]</f>
        <v>AMPOLA</v>
      </c>
      <c r="D9" s="9" t="e">
        <f>#REF!</f>
        <v>#REF!</v>
      </c>
      <c r="E9" s="9" t="str">
        <f>TabelaPrincipal[[#This Row],[MARCA]]</f>
        <v>Hypofarma</v>
      </c>
      <c r="F9" s="11">
        <f>TabelaPrincipal[[#This Row],[CUSTO + 30%]]</f>
        <v>3.38</v>
      </c>
      <c r="G9" s="12">
        <f>TabelaPrincipal[[#This Row],[VALOR TOTAL]]</f>
        <v>10140</v>
      </c>
      <c r="H9" s="10"/>
    </row>
    <row r="10" spans="1:8" x14ac:dyDescent="0.25">
      <c r="A10" s="8">
        <f>TabelaPrincipal[[#This Row],[ITEM]]</f>
        <v>34</v>
      </c>
      <c r="B10" s="9" t="str">
        <f>TabelaPrincipal[[#This Row],[DESCRIÇÃO]]</f>
        <v>CEFALOTINA 1G IM/IV</v>
      </c>
      <c r="C10" s="10" t="str">
        <f>TabelaPrincipal[[#This Row],[UND]]</f>
        <v>FRASCO</v>
      </c>
      <c r="D10" s="9" t="e">
        <f>#REF!</f>
        <v>#REF!</v>
      </c>
      <c r="E10" s="9" t="str">
        <f>TabelaPrincipal[[#This Row],[MARCA]]</f>
        <v>Blau</v>
      </c>
      <c r="F10" s="11">
        <f>TabelaPrincipal[[#This Row],[CUSTO + 30%]]</f>
        <v>8.9700000000000006</v>
      </c>
      <c r="G10" s="12">
        <f>TabelaPrincipal[[#This Row],[VALOR TOTAL]]</f>
        <v>17940</v>
      </c>
      <c r="H10" s="10"/>
    </row>
    <row r="11" spans="1:8" x14ac:dyDescent="0.25">
      <c r="A11" s="8">
        <f>TabelaPrincipal[[#This Row],[ITEM]]</f>
        <v>35</v>
      </c>
      <c r="B11" s="9" t="str">
        <f>TabelaPrincipal[[#This Row],[DESCRIÇÃO]]</f>
        <v>CEFEPIMA 1G PÓ P/ SOLUÇÃO INJETÁVEL</v>
      </c>
      <c r="C11" s="10" t="str">
        <f>TabelaPrincipal[[#This Row],[UND]]</f>
        <v>FRASCO AMPOLA</v>
      </c>
      <c r="D11" s="9" t="e">
        <f>#REF!</f>
        <v>#REF!</v>
      </c>
      <c r="E11" s="9" t="str">
        <f>TabelaPrincipal[[#This Row],[MARCA]]</f>
        <v>Teuto</v>
      </c>
      <c r="F11" s="11">
        <f>TabelaPrincipal[[#This Row],[CUSTO + 30%]]</f>
        <v>17.55</v>
      </c>
      <c r="G11" s="12">
        <f>TabelaPrincipal[[#This Row],[VALOR TOTAL]]</f>
        <v>8775</v>
      </c>
      <c r="H11" s="10"/>
    </row>
    <row r="12" spans="1:8" x14ac:dyDescent="0.25">
      <c r="A12" s="8">
        <f>TabelaPrincipal[[#This Row],[ITEM]]</f>
        <v>36</v>
      </c>
      <c r="B12" s="9" t="str">
        <f>TabelaPrincipal[[#This Row],[DESCRIÇÃO]]</f>
        <v>CEFTRIAXONA 1G IV</v>
      </c>
      <c r="C12" s="10" t="str">
        <f>TabelaPrincipal[[#This Row],[UND]]</f>
        <v>FRASCO</v>
      </c>
      <c r="D12" s="9" t="e">
        <f>#REF!</f>
        <v>#REF!</v>
      </c>
      <c r="E12" s="9" t="str">
        <f>TabelaPrincipal[[#This Row],[MARCA]]</f>
        <v>Blau</v>
      </c>
      <c r="F12" s="11">
        <f>TabelaPrincipal[[#This Row],[CUSTO + 30%]]</f>
        <v>6.37</v>
      </c>
      <c r="G12" s="12">
        <f>TabelaPrincipal[[#This Row],[VALOR TOTAL]]</f>
        <v>19110</v>
      </c>
      <c r="H12" s="10"/>
    </row>
    <row r="13" spans="1:8" x14ac:dyDescent="0.25">
      <c r="A13" s="8">
        <f>TabelaPrincipal[[#This Row],[ITEM]]</f>
        <v>40</v>
      </c>
      <c r="B13" s="9" t="str">
        <f>TabelaPrincipal[[#This Row],[DESCRIÇÃO]]</f>
        <v>CIMETIDINA 150 MG/ML INJETAVEL 2 ML</v>
      </c>
      <c r="C13" s="10" t="str">
        <f>TabelaPrincipal[[#This Row],[UND]]</f>
        <v>AMPOLA</v>
      </c>
      <c r="D13" s="9" t="e">
        <f>#REF!</f>
        <v>#REF!</v>
      </c>
      <c r="E13" s="9" t="str">
        <f>TabelaPrincipal[[#This Row],[MARCA]]</f>
        <v>Teuto</v>
      </c>
      <c r="F13" s="11">
        <f>TabelaPrincipal[[#This Row],[CUSTO + 30%]]</f>
        <v>3.25</v>
      </c>
      <c r="G13" s="12">
        <f>TabelaPrincipal[[#This Row],[VALOR TOTAL]]</f>
        <v>4550</v>
      </c>
      <c r="H13" s="10"/>
    </row>
    <row r="14" spans="1:8" x14ac:dyDescent="0.25">
      <c r="A14" s="8">
        <f>TabelaPrincipal[[#This Row],[ITEM]]</f>
        <v>42</v>
      </c>
      <c r="B14" s="9" t="str">
        <f>TabelaPrincipal[[#This Row],[DESCRIÇÃO]]</f>
        <v>CIPROFLOXACINO FR 200MG 100ML</v>
      </c>
      <c r="C14" s="10" t="str">
        <f>TabelaPrincipal[[#This Row],[UND]]</f>
        <v>FRASCO</v>
      </c>
      <c r="D14" s="9" t="e">
        <f>#REF!</f>
        <v>#REF!</v>
      </c>
      <c r="E14" s="9" t="str">
        <f>TabelaPrincipal[[#This Row],[MARCA]]</f>
        <v>Isofarma</v>
      </c>
      <c r="F14" s="11">
        <f>TabelaPrincipal[[#This Row],[CUSTO + 30%]]</f>
        <v>44.2</v>
      </c>
      <c r="G14" s="12">
        <f>TabelaPrincipal[[#This Row],[VALOR TOTAL]]</f>
        <v>17680</v>
      </c>
      <c r="H14" s="10"/>
    </row>
    <row r="15" spans="1:8" x14ac:dyDescent="0.25">
      <c r="A15" s="8">
        <f>TabelaPrincipal[[#This Row],[ITEM]]</f>
        <v>62</v>
      </c>
      <c r="B15" s="9" t="str">
        <f>TabelaPrincipal[[#This Row],[DESCRIÇÃO]]</f>
        <v>CLORIDRATO DE PROMETAZINA 50 MG 2ML</v>
      </c>
      <c r="C15" s="10" t="str">
        <f>TabelaPrincipal[[#This Row],[UND]]</f>
        <v>AMPOLA</v>
      </c>
      <c r="D15" s="9" t="e">
        <f>#REF!</f>
        <v>#REF!</v>
      </c>
      <c r="E15" s="9" t="str">
        <f>TabelaPrincipal[[#This Row],[MARCA]]</f>
        <v>Sanval</v>
      </c>
      <c r="F15" s="11">
        <f>TabelaPrincipal[[#This Row],[CUSTO + 30%]]</f>
        <v>3.9</v>
      </c>
      <c r="G15" s="12">
        <f>TabelaPrincipal[[#This Row],[VALOR TOTAL]]</f>
        <v>4680</v>
      </c>
      <c r="H15" s="10"/>
    </row>
    <row r="16" spans="1:8" ht="38.25" x14ac:dyDescent="0.25">
      <c r="A16" s="8">
        <f>TabelaPrincipal[[#This Row],[ITEM]]</f>
        <v>63</v>
      </c>
      <c r="B16" s="9" t="str">
        <f>TabelaPrincipal[[#This Row],[DESCRIÇÃO]]</f>
        <v>COMPLEXO B + ÁCIDO ASCÓRBICO + FRUTOSE SOLUÇÃO INJETÁVEL EV CONTÉM1 AMPOLA A DE 10ML E 1 AMPOLA B DE 10ML</v>
      </c>
      <c r="C16" s="10" t="str">
        <f>TabelaPrincipal[[#This Row],[UND]]</f>
        <v>AMPOLA</v>
      </c>
      <c r="D16" s="9" t="e">
        <f>#REF!</f>
        <v>#REF!</v>
      </c>
      <c r="E16" s="9" t="str">
        <f>TabelaPrincipal[[#This Row],[MARCA]]</f>
        <v>Cristália</v>
      </c>
      <c r="F16" s="11">
        <f>TabelaPrincipal[[#This Row],[CUSTO + 30%]]</f>
        <v>10.4</v>
      </c>
      <c r="G16" s="12">
        <f>TabelaPrincipal[[#This Row],[VALOR TOTAL]]</f>
        <v>20800</v>
      </c>
      <c r="H16" s="10"/>
    </row>
    <row r="17" spans="1:8" x14ac:dyDescent="0.25">
      <c r="A17" s="8">
        <f>TabelaPrincipal[[#This Row],[ITEM]]</f>
        <v>65</v>
      </c>
      <c r="B17" s="9" t="str">
        <f>TabelaPrincipal[[#This Row],[DESCRIÇÃO]]</f>
        <v>DEXAMETAXONA 4MG/ML 2,5ML</v>
      </c>
      <c r="C17" s="10" t="str">
        <f>TabelaPrincipal[[#This Row],[UND]]</f>
        <v>AMPOLA</v>
      </c>
      <c r="D17" s="9" t="e">
        <f>#REF!</f>
        <v>#REF!</v>
      </c>
      <c r="E17" s="9" t="str">
        <f>TabelaPrincipal[[#This Row],[MARCA]]</f>
        <v>Teuto</v>
      </c>
      <c r="F17" s="11">
        <f>TabelaPrincipal[[#This Row],[CUSTO + 30%]]</f>
        <v>3.51</v>
      </c>
      <c r="G17" s="12">
        <f>TabelaPrincipal[[#This Row],[VALOR TOTAL]]</f>
        <v>28080</v>
      </c>
      <c r="H17" s="10"/>
    </row>
    <row r="18" spans="1:8" x14ac:dyDescent="0.25">
      <c r="A18" s="8">
        <f>TabelaPrincipal[[#This Row],[ITEM]]</f>
        <v>70</v>
      </c>
      <c r="B18" s="9" t="str">
        <f>TabelaPrincipal[[#This Row],[DESCRIÇÃO]]</f>
        <v>DICLOFENACO DE SÓDIO 25MG/ML 3ML</v>
      </c>
      <c r="C18" s="10" t="str">
        <f>TabelaPrincipal[[#This Row],[UND]]</f>
        <v>AMPOLA</v>
      </c>
      <c r="D18" s="9" t="e">
        <f>#REF!</f>
        <v>#REF!</v>
      </c>
      <c r="E18" s="9" t="str">
        <f>TabelaPrincipal[[#This Row],[MARCA]]</f>
        <v>Teuto</v>
      </c>
      <c r="F18" s="11">
        <f>TabelaPrincipal[[#This Row],[CUSTO + 30%]]</f>
        <v>1.95</v>
      </c>
      <c r="G18" s="12">
        <f>TabelaPrincipal[[#This Row],[VALOR TOTAL]]</f>
        <v>9750</v>
      </c>
      <c r="H18" s="10"/>
    </row>
    <row r="19" spans="1:8" ht="25.5" x14ac:dyDescent="0.25">
      <c r="A19" s="8">
        <f>TabelaPrincipal[[#This Row],[ITEM]]</f>
        <v>72</v>
      </c>
      <c r="B19" s="9" t="str">
        <f>TabelaPrincipal[[#This Row],[DESCRIÇÃO]]</f>
        <v>DIMENIDRINATO 30 MG + PIRIDOXINA 50 MG INJ. + GLICOSE 1000 MG + FRUTOSE 1000 MG ENDOVENOSO 10 ML</v>
      </c>
      <c r="C19" s="10" t="str">
        <f>TabelaPrincipal[[#This Row],[UND]]</f>
        <v>AMPOLA</v>
      </c>
      <c r="D19" s="9" t="e">
        <f>#REF!</f>
        <v>#REF!</v>
      </c>
      <c r="E19" s="9" t="str">
        <f>TabelaPrincipal[[#This Row],[MARCA]]</f>
        <v>Takeda</v>
      </c>
      <c r="F19" s="11">
        <f>TabelaPrincipal[[#This Row],[CUSTO + 30%]]</f>
        <v>24.7</v>
      </c>
      <c r="G19" s="12">
        <f>TabelaPrincipal[[#This Row],[VALOR TOTAL]]</f>
        <v>24700</v>
      </c>
      <c r="H19" s="10"/>
    </row>
    <row r="20" spans="1:8" x14ac:dyDescent="0.25">
      <c r="A20" s="8">
        <f>TabelaPrincipal[[#This Row],[ITEM]]</f>
        <v>74</v>
      </c>
      <c r="B20" s="9" t="str">
        <f>TabelaPrincipal[[#This Row],[DESCRIÇÃO]]</f>
        <v>DIPIRONA SÓDICA 1G/2ML</v>
      </c>
      <c r="C20" s="10" t="str">
        <f>TabelaPrincipal[[#This Row],[UND]]</f>
        <v>AMPOLA</v>
      </c>
      <c r="D20" s="9" t="e">
        <f>#REF!</f>
        <v>#REF!</v>
      </c>
      <c r="E20" s="9" t="str">
        <f>TabelaPrincipal[[#This Row],[MARCA]]</f>
        <v>Teuto</v>
      </c>
      <c r="F20" s="11">
        <f>TabelaPrincipal[[#This Row],[CUSTO + 30%]]</f>
        <v>2.08</v>
      </c>
      <c r="G20" s="12">
        <f>TabelaPrincipal[[#This Row],[VALOR TOTAL]]</f>
        <v>16640</v>
      </c>
      <c r="H20" s="10"/>
    </row>
    <row r="21" spans="1:8" ht="38.25" x14ac:dyDescent="0.25">
      <c r="A21" s="8">
        <f>TabelaPrincipal[[#This Row],[ITEM]]</f>
        <v>80</v>
      </c>
      <c r="B21" s="9" t="str">
        <f>TabelaPrincipal[[#This Row],[DESCRIÇÃO]]</f>
        <v>ENOXAPARINA SODICA 60MG/0,6 ML SOLUCAO INJETAVEL USO SUBCUTANEO/INTRAVENOSO COM 2 SERINGAS PRE-ENCHIDAS COM 0,6 ML</v>
      </c>
      <c r="C21" s="10" t="str">
        <f>TabelaPrincipal[[#This Row],[UND]]</f>
        <v>CAIXA</v>
      </c>
      <c r="D21" s="9" t="e">
        <f>#REF!</f>
        <v>#REF!</v>
      </c>
      <c r="E21" s="9" t="str">
        <f>TabelaPrincipal[[#This Row],[MARCA]]</f>
        <v>Cristália</v>
      </c>
      <c r="F21" s="11">
        <f>TabelaPrincipal[[#This Row],[CUSTO + 30%]]</f>
        <v>89.7</v>
      </c>
      <c r="G21" s="12">
        <f>TabelaPrincipal[[#This Row],[VALOR TOTAL]]</f>
        <v>44850</v>
      </c>
      <c r="H21" s="10"/>
    </row>
    <row r="22" spans="1:8" ht="25.5" x14ac:dyDescent="0.25">
      <c r="A22" s="8">
        <f>TabelaPrincipal[[#This Row],[ITEM]]</f>
        <v>81</v>
      </c>
      <c r="B22" s="9" t="str">
        <f>TabelaPrincipal[[#This Row],[DESCRIÇÃO]]</f>
        <v>ENOXAPARINA SÓDICA 40MG/0,4ML SOL. INJETÁVEL VIA SUBCUTÂNEA/ IV</v>
      </c>
      <c r="C22" s="10" t="str">
        <f>TabelaPrincipal[[#This Row],[UND]]</f>
        <v>UNIDADE</v>
      </c>
      <c r="D22" s="9" t="e">
        <f>#REF!</f>
        <v>#REF!</v>
      </c>
      <c r="E22" s="9" t="str">
        <f>TabelaPrincipal[[#This Row],[MARCA]]</f>
        <v>Mylan</v>
      </c>
      <c r="F22" s="11">
        <f>TabelaPrincipal[[#This Row],[CUSTO + 30%]]</f>
        <v>29.9</v>
      </c>
      <c r="G22" s="12">
        <f>TabelaPrincipal[[#This Row],[VALOR TOTAL]]</f>
        <v>29900</v>
      </c>
      <c r="H22" s="10"/>
    </row>
    <row r="23" spans="1:8" ht="25.5" x14ac:dyDescent="0.25">
      <c r="A23" s="8">
        <f>TabelaPrincipal[[#This Row],[ITEM]]</f>
        <v>91</v>
      </c>
      <c r="B23" s="9" t="str">
        <f>TabelaPrincipal[[#This Row],[DESCRIÇÃO]]</f>
        <v>FOSFATO DE CLINDAMICINA 150 MG/ML 4ML USO IV/IM INJETAVEL</v>
      </c>
      <c r="C23" s="10" t="str">
        <f>TabelaPrincipal[[#This Row],[UND]]</f>
        <v>AMPOLA</v>
      </c>
      <c r="D23" s="9" t="e">
        <f>#REF!</f>
        <v>#REF!</v>
      </c>
      <c r="E23" s="9" t="str">
        <f>TabelaPrincipal[[#This Row],[MARCA]]</f>
        <v>Hypofarma</v>
      </c>
      <c r="F23" s="11">
        <f>TabelaPrincipal[[#This Row],[CUSTO + 30%]]</f>
        <v>7.15</v>
      </c>
      <c r="G23" s="12">
        <f>TabelaPrincipal[[#This Row],[VALOR TOTAL]]</f>
        <v>4290</v>
      </c>
      <c r="H23" s="10"/>
    </row>
    <row r="24" spans="1:8" x14ac:dyDescent="0.25">
      <c r="A24" s="8">
        <f>TabelaPrincipal[[#This Row],[ITEM]]</f>
        <v>93</v>
      </c>
      <c r="B24" s="9" t="str">
        <f>TabelaPrincipal[[#This Row],[DESCRIÇÃO]]</f>
        <v>FUROSEMIDA 20MG.2ML</v>
      </c>
      <c r="C24" s="10" t="str">
        <f>TabelaPrincipal[[#This Row],[UND]]</f>
        <v>AMPOLA</v>
      </c>
      <c r="D24" s="9" t="e">
        <f>#REF!</f>
        <v>#REF!</v>
      </c>
      <c r="E24" s="9" t="str">
        <f>TabelaPrincipal[[#This Row],[MARCA]]</f>
        <v>Teuto</v>
      </c>
      <c r="F24" s="11">
        <f>TabelaPrincipal[[#This Row],[CUSTO + 30%]]</f>
        <v>2.4700000000000002</v>
      </c>
      <c r="G24" s="12">
        <f>TabelaPrincipal[[#This Row],[VALOR TOTAL]]</f>
        <v>1482.0000000000002</v>
      </c>
      <c r="H24" s="10"/>
    </row>
    <row r="25" spans="1:8" x14ac:dyDescent="0.25">
      <c r="A25" s="8">
        <f>TabelaPrincipal[[#This Row],[ITEM]]</f>
        <v>99</v>
      </c>
      <c r="B25" s="9" t="str">
        <f>TabelaPrincipal[[#This Row],[DESCRIÇÃO]]</f>
        <v>GLICOSE 50% 10ML</v>
      </c>
      <c r="C25" s="10" t="str">
        <f>TabelaPrincipal[[#This Row],[UND]]</f>
        <v>AMPOLA</v>
      </c>
      <c r="D25" s="9" t="e">
        <f>#REF!</f>
        <v>#REF!</v>
      </c>
      <c r="E25" s="9" t="str">
        <f>TabelaPrincipal[[#This Row],[MARCA]]</f>
        <v>Isofarma</v>
      </c>
      <c r="F25" s="11">
        <f>TabelaPrincipal[[#This Row],[CUSTO + 30%]]</f>
        <v>1.24</v>
      </c>
      <c r="G25" s="12">
        <f>TabelaPrincipal[[#This Row],[VALOR TOTAL]]</f>
        <v>2852</v>
      </c>
      <c r="H25" s="10"/>
    </row>
    <row r="26" spans="1:8" x14ac:dyDescent="0.25">
      <c r="A26" s="8">
        <f>TabelaPrincipal[[#This Row],[ITEM]]</f>
        <v>102</v>
      </c>
      <c r="B26" s="9" t="str">
        <f>TabelaPrincipal[[#This Row],[DESCRIÇÃO]]</f>
        <v>HEPARINA SÓDICA SUBCUTÂNEA 5000 UI/0,25ML</v>
      </c>
      <c r="C26" s="10" t="str">
        <f>TabelaPrincipal[[#This Row],[UND]]</f>
        <v>AMPOLA</v>
      </c>
      <c r="D26" s="9" t="e">
        <f>#REF!</f>
        <v>#REF!</v>
      </c>
      <c r="E26" s="9" t="str">
        <f>TabelaPrincipal[[#This Row],[MARCA]]</f>
        <v>Cristália</v>
      </c>
      <c r="F26" s="11">
        <f>TabelaPrincipal[[#This Row],[CUSTO + 30%]]</f>
        <v>11.57</v>
      </c>
      <c r="G26" s="12">
        <f>TabelaPrincipal[[#This Row],[VALOR TOTAL]]</f>
        <v>11570</v>
      </c>
      <c r="H26" s="10"/>
    </row>
    <row r="27" spans="1:8" x14ac:dyDescent="0.25">
      <c r="A27" s="8">
        <f>TabelaPrincipal[[#This Row],[ITEM]]</f>
        <v>106</v>
      </c>
      <c r="B27" s="9" t="str">
        <f>TabelaPrincipal[[#This Row],[DESCRIÇÃO]]</f>
        <v>HIDROCORTISONA 100 MG</v>
      </c>
      <c r="C27" s="10" t="str">
        <f>TabelaPrincipal[[#This Row],[UND]]</f>
        <v>FRASCO AMPOLA</v>
      </c>
      <c r="D27" s="9" t="e">
        <f>#REF!</f>
        <v>#REF!</v>
      </c>
      <c r="E27" s="9" t="str">
        <f>TabelaPrincipal[[#This Row],[MARCA]]</f>
        <v>Blau</v>
      </c>
      <c r="F27" s="11">
        <f>TabelaPrincipal[[#This Row],[CUSTO + 30%]]</f>
        <v>6.37</v>
      </c>
      <c r="G27" s="12">
        <f>TabelaPrincipal[[#This Row],[VALOR TOTAL]]</f>
        <v>10192</v>
      </c>
      <c r="H27" s="10"/>
    </row>
    <row r="28" spans="1:8" x14ac:dyDescent="0.25">
      <c r="A28" s="8">
        <f>TabelaPrincipal[[#This Row],[ITEM]]</f>
        <v>107</v>
      </c>
      <c r="B28" s="9" t="str">
        <f>TabelaPrincipal[[#This Row],[DESCRIÇÃO]]</f>
        <v>HIDROCORTISONA 500MG</v>
      </c>
      <c r="C28" s="10" t="str">
        <f>TabelaPrincipal[[#This Row],[UND]]</f>
        <v>AMPOLA</v>
      </c>
      <c r="D28" s="9" t="e">
        <f>#REF!</f>
        <v>#REF!</v>
      </c>
      <c r="E28" s="9" t="str">
        <f>TabelaPrincipal[[#This Row],[MARCA]]</f>
        <v>Teuto</v>
      </c>
      <c r="F28" s="11">
        <f>TabelaPrincipal[[#This Row],[CUSTO + 30%]]</f>
        <v>9.09</v>
      </c>
      <c r="G28" s="12">
        <f>TabelaPrincipal[[#This Row],[VALOR TOTAL]]</f>
        <v>9090</v>
      </c>
      <c r="H28" s="10"/>
    </row>
    <row r="29" spans="1:8" x14ac:dyDescent="0.25">
      <c r="A29" s="8">
        <f>TabelaPrincipal[[#This Row],[ITEM]]</f>
        <v>122</v>
      </c>
      <c r="B29" s="9" t="str">
        <f>TabelaPrincipal[[#This Row],[DESCRIÇÃO]]</f>
        <v>METRONIDAZOL 5MG/ML 100ML INJETÁVEL BOLSA</v>
      </c>
      <c r="C29" s="10" t="str">
        <f>TabelaPrincipal[[#This Row],[UND]]</f>
        <v>BOLSA</v>
      </c>
      <c r="D29" s="9" t="e">
        <f>#REF!</f>
        <v>#REF!</v>
      </c>
      <c r="E29" s="9" t="str">
        <f>TabelaPrincipal[[#This Row],[MARCA]]</f>
        <v>Halex Istar</v>
      </c>
      <c r="F29" s="11">
        <f>TabelaPrincipal[[#This Row],[CUSTO + 30%]]</f>
        <v>8.9700000000000006</v>
      </c>
      <c r="G29" s="12">
        <f>TabelaPrincipal[[#This Row],[VALOR TOTAL]]</f>
        <v>5382</v>
      </c>
      <c r="H29" s="10"/>
    </row>
    <row r="30" spans="1:8" x14ac:dyDescent="0.25">
      <c r="A30" s="8">
        <f>TabelaPrincipal[[#This Row],[ITEM]]</f>
        <v>133</v>
      </c>
      <c r="B30" s="9" t="str">
        <f>TabelaPrincipal[[#This Row],[DESCRIÇÃO]]</f>
        <v>OMEPRAZOL 40 MG INJETAVEL</v>
      </c>
      <c r="C30" s="10" t="str">
        <f>TabelaPrincipal[[#This Row],[UND]]</f>
        <v>FRASCO AMPOLA</v>
      </c>
      <c r="D30" s="9" t="e">
        <f>#REF!</f>
        <v>#REF!</v>
      </c>
      <c r="E30" s="9" t="str">
        <f>TabelaPrincipal[[#This Row],[MARCA]]</f>
        <v>Blau</v>
      </c>
      <c r="F30" s="11">
        <f>TabelaPrincipal[[#This Row],[CUSTO + 30%]]</f>
        <v>12.09</v>
      </c>
      <c r="G30" s="12">
        <f>TabelaPrincipal[[#This Row],[VALOR TOTAL]]</f>
        <v>36270</v>
      </c>
      <c r="H30" s="10"/>
    </row>
    <row r="31" spans="1:8" x14ac:dyDescent="0.25">
      <c r="A31" s="8">
        <f>TabelaPrincipal[[#This Row],[ITEM]]</f>
        <v>135</v>
      </c>
      <c r="B31" s="9" t="str">
        <f>TabelaPrincipal[[#This Row],[DESCRIÇÃO]]</f>
        <v>ONDANSETRONA 8MG AMPOLAS 4ML</v>
      </c>
      <c r="C31" s="10" t="str">
        <f>TabelaPrincipal[[#This Row],[UND]]</f>
        <v>UNIDADE</v>
      </c>
      <c r="D31" s="9" t="e">
        <f>#REF!</f>
        <v>#REF!</v>
      </c>
      <c r="E31" s="9" t="str">
        <f>TabelaPrincipal[[#This Row],[MARCA]]</f>
        <v>Hipolabor</v>
      </c>
      <c r="F31" s="11">
        <f>TabelaPrincipal[[#This Row],[CUSTO + 30%]]</f>
        <v>3.77</v>
      </c>
      <c r="G31" s="12">
        <f>TabelaPrincipal[[#This Row],[VALOR TOTAL]]</f>
        <v>15080</v>
      </c>
      <c r="H31" s="10"/>
    </row>
    <row r="32" spans="1:8" ht="25.5" x14ac:dyDescent="0.25">
      <c r="A32" s="8">
        <f>TabelaPrincipal[[#This Row],[ITEM]]</f>
        <v>141</v>
      </c>
      <c r="B32" s="9" t="str">
        <f>TabelaPrincipal[[#This Row],[DESCRIÇÃO]]</f>
        <v>PIPERACILINA + TAZOBACTAM 4G + 500MG INJETÁVEL FRASCO AMPOLA</v>
      </c>
      <c r="C32" s="10" t="str">
        <f>TabelaPrincipal[[#This Row],[UND]]</f>
        <v>UNIDADE</v>
      </c>
      <c r="D32" s="9" t="e">
        <f>#REF!</f>
        <v>#REF!</v>
      </c>
      <c r="E32" s="9" t="str">
        <f>TabelaPrincipal[[#This Row],[MARCA]]</f>
        <v>Mylan</v>
      </c>
      <c r="F32" s="11">
        <f>TabelaPrincipal[[#This Row],[CUSTO + 30%]]</f>
        <v>36.4</v>
      </c>
      <c r="G32" s="12">
        <f>TabelaPrincipal[[#This Row],[VALOR TOTAL]]</f>
        <v>21840</v>
      </c>
      <c r="H32" s="10"/>
    </row>
    <row r="33" spans="1:8" x14ac:dyDescent="0.25">
      <c r="A33" s="8">
        <f>TabelaPrincipal[[#This Row],[ITEM]]</f>
        <v>142</v>
      </c>
      <c r="B33" s="9" t="str">
        <f>TabelaPrincipal[[#This Row],[DESCRIÇÃO]]</f>
        <v>POLIVITAMÍNICO COMPLEXO B 2ML</v>
      </c>
      <c r="C33" s="10" t="str">
        <f>TabelaPrincipal[[#This Row],[UND]]</f>
        <v>UNIDADE</v>
      </c>
      <c r="D33" s="9" t="e">
        <f>#REF!</f>
        <v>#REF!</v>
      </c>
      <c r="E33" s="9" t="str">
        <f>TabelaPrincipal[[#This Row],[MARCA]]</f>
        <v>Hypofarma</v>
      </c>
      <c r="F33" s="11">
        <f>TabelaPrincipal[[#This Row],[CUSTO + 30%]]</f>
        <v>3.89</v>
      </c>
      <c r="G33" s="12">
        <f>TabelaPrincipal[[#This Row],[VALOR TOTAL]]</f>
        <v>7780</v>
      </c>
      <c r="H33" s="10"/>
    </row>
    <row r="34" spans="1:8" x14ac:dyDescent="0.25">
      <c r="A34" s="8">
        <f>TabelaPrincipal[[#This Row],[ITEM]]</f>
        <v>143</v>
      </c>
      <c r="B34" s="9" t="str">
        <f>TabelaPrincipal[[#This Row],[DESCRIÇÃO]]</f>
        <v>POMADA COLAGENASE + CLORANFENICOL 30 GR</v>
      </c>
      <c r="C34" s="10" t="str">
        <f>TabelaPrincipal[[#This Row],[UND]]</f>
        <v>TUBO</v>
      </c>
      <c r="D34" s="9" t="e">
        <f>#REF!</f>
        <v>#REF!</v>
      </c>
      <c r="E34" s="9" t="str">
        <f>TabelaPrincipal[[#This Row],[MARCA]]</f>
        <v>Cristália</v>
      </c>
      <c r="F34" s="11">
        <f>TabelaPrincipal[[#This Row],[CUSTO + 30%]]</f>
        <v>20.8</v>
      </c>
      <c r="G34" s="12">
        <f>TabelaPrincipal[[#This Row],[VALOR TOTAL]]</f>
        <v>4160</v>
      </c>
      <c r="H34" s="10"/>
    </row>
    <row r="35" spans="1:8" x14ac:dyDescent="0.25">
      <c r="A35" s="8">
        <f>TabelaPrincipal[[#This Row],[ITEM]]</f>
        <v>144</v>
      </c>
      <c r="B35" s="9" t="str">
        <f>TabelaPrincipal[[#This Row],[DESCRIÇÃO]]</f>
        <v>POMADA NEOMICINA + BACITRACINA 10 G</v>
      </c>
      <c r="C35" s="10" t="str">
        <f>TabelaPrincipal[[#This Row],[UND]]</f>
        <v>UNIDADE</v>
      </c>
      <c r="D35" s="9" t="e">
        <f>#REF!</f>
        <v>#REF!</v>
      </c>
      <c r="E35" s="9" t="str">
        <f>TabelaPrincipal[[#This Row],[MARCA]]</f>
        <v>Belfar</v>
      </c>
      <c r="F35" s="11">
        <f>TabelaPrincipal[[#This Row],[CUSTO + 30%]]</f>
        <v>4</v>
      </c>
      <c r="G35" s="12">
        <f>TabelaPrincipal[[#This Row],[VALOR TOTAL]]</f>
        <v>4000</v>
      </c>
      <c r="H35" s="10"/>
    </row>
    <row r="36" spans="1:8" x14ac:dyDescent="0.25">
      <c r="A36" s="8">
        <f>TabelaPrincipal[[#This Row],[ITEM]]</f>
        <v>145</v>
      </c>
      <c r="B36" s="9" t="str">
        <f>TabelaPrincipal[[#This Row],[DESCRIÇÃO]]</f>
        <v>POMADA SULFADIAZINA DE PRATA 1% BISNAGA 50G</v>
      </c>
      <c r="C36" s="10" t="str">
        <f>TabelaPrincipal[[#This Row],[UND]]</f>
        <v>UNIDADE</v>
      </c>
      <c r="D36" s="9" t="e">
        <f>#REF!</f>
        <v>#REF!</v>
      </c>
      <c r="E36" s="9" t="str">
        <f>TabelaPrincipal[[#This Row],[MARCA]]</f>
        <v>Nativita</v>
      </c>
      <c r="F36" s="11">
        <f>TabelaPrincipal[[#This Row],[CUSTO + 30%]]</f>
        <v>14.82</v>
      </c>
      <c r="G36" s="12">
        <f>TabelaPrincipal[[#This Row],[VALOR TOTAL]]</f>
        <v>2964</v>
      </c>
      <c r="H36" s="10"/>
    </row>
    <row r="37" spans="1:8" x14ac:dyDescent="0.25">
      <c r="A37" s="8">
        <f>TabelaPrincipal[[#This Row],[ITEM]]</f>
        <v>154</v>
      </c>
      <c r="B37" s="9" t="str">
        <f>TabelaPrincipal[[#This Row],[DESCRIÇÃO]]</f>
        <v>SORO GLISOFIOLÓGICO 500ML SISTEMA FECHADO</v>
      </c>
      <c r="C37" s="10" t="str">
        <f>TabelaPrincipal[[#This Row],[UND]]</f>
        <v>UNIDADE</v>
      </c>
      <c r="D37" s="9" t="e">
        <f>#REF!</f>
        <v>#REF!</v>
      </c>
      <c r="E37" s="9" t="str">
        <f>TabelaPrincipal[[#This Row],[MARCA]]</f>
        <v>JP</v>
      </c>
      <c r="F37" s="11">
        <f>TabelaPrincipal[[#This Row],[CUSTO + 30%]]</f>
        <v>12.35</v>
      </c>
      <c r="G37" s="12">
        <f>TabelaPrincipal[[#This Row],[VALOR TOTAL]]</f>
        <v>4940</v>
      </c>
      <c r="H37" s="10"/>
    </row>
    <row r="38" spans="1:8" x14ac:dyDescent="0.25">
      <c r="A38" s="8">
        <f>TabelaPrincipal[[#This Row],[ITEM]]</f>
        <v>155</v>
      </c>
      <c r="B38" s="9" t="str">
        <f>TabelaPrincipal[[#This Row],[DESCRIÇÃO]]</f>
        <v>SORO FISIOLÓGICO 0,9% 100ML SISTEMA FECHADO</v>
      </c>
      <c r="C38" s="10" t="str">
        <f>TabelaPrincipal[[#This Row],[UND]]</f>
        <v>BOLSA</v>
      </c>
      <c r="D38" s="9" t="e">
        <f>#REF!</f>
        <v>#REF!</v>
      </c>
      <c r="E38" s="9" t="str">
        <f>TabelaPrincipal[[#This Row],[MARCA]]</f>
        <v>JP</v>
      </c>
      <c r="F38" s="11">
        <f>TabelaPrincipal[[#This Row],[CUSTO + 30%]]</f>
        <v>8.32</v>
      </c>
      <c r="G38" s="12">
        <f>TabelaPrincipal[[#This Row],[VALOR TOTAL]]</f>
        <v>83200</v>
      </c>
      <c r="H38" s="10"/>
    </row>
    <row r="39" spans="1:8" x14ac:dyDescent="0.25">
      <c r="A39" s="8">
        <f>TabelaPrincipal[[#This Row],[ITEM]]</f>
        <v>156</v>
      </c>
      <c r="B39" s="9" t="str">
        <f>TabelaPrincipal[[#This Row],[DESCRIÇÃO]]</f>
        <v>SORO FISIOLÓGICO 0,9% 250ML SISTEMA FECHADO</v>
      </c>
      <c r="C39" s="10" t="str">
        <f>TabelaPrincipal[[#This Row],[UND]]</f>
        <v>BOLSA</v>
      </c>
      <c r="D39" s="9" t="e">
        <f>#REF!</f>
        <v>#REF!</v>
      </c>
      <c r="E39" s="9" t="str">
        <f>TabelaPrincipal[[#This Row],[MARCA]]</f>
        <v>JP</v>
      </c>
      <c r="F39" s="11">
        <f>TabelaPrincipal[[#This Row],[CUSTO + 30%]]</f>
        <v>9.36</v>
      </c>
      <c r="G39" s="12">
        <f>TabelaPrincipal[[#This Row],[VALOR TOTAL]]</f>
        <v>56160</v>
      </c>
      <c r="H39" s="10"/>
    </row>
    <row r="40" spans="1:8" x14ac:dyDescent="0.25">
      <c r="A40" s="8">
        <f>TabelaPrincipal[[#This Row],[ITEM]]</f>
        <v>157</v>
      </c>
      <c r="B40" s="9" t="str">
        <f>TabelaPrincipal[[#This Row],[DESCRIÇÃO]]</f>
        <v>SORO FISIOLÓGICO 0,9% 500ML SISTEMA FECHADO</v>
      </c>
      <c r="C40" s="10" t="str">
        <f>TabelaPrincipal[[#This Row],[UND]]</f>
        <v>BOLSA</v>
      </c>
      <c r="D40" s="9" t="e">
        <f>#REF!</f>
        <v>#REF!</v>
      </c>
      <c r="E40" s="9" t="str">
        <f>TabelaPrincipal[[#This Row],[MARCA]]</f>
        <v>Halex Istar</v>
      </c>
      <c r="F40" s="11">
        <f>TabelaPrincipal[[#This Row],[CUSTO + 30%]]</f>
        <v>9.8800000000000008</v>
      </c>
      <c r="G40" s="12">
        <f>TabelaPrincipal[[#This Row],[VALOR TOTAL]]</f>
        <v>79040</v>
      </c>
      <c r="H40" s="10"/>
    </row>
    <row r="41" spans="1:8" x14ac:dyDescent="0.25">
      <c r="A41" s="8">
        <f>TabelaPrincipal[[#This Row],[ITEM]]</f>
        <v>158</v>
      </c>
      <c r="B41" s="9" t="str">
        <f>TabelaPrincipal[[#This Row],[DESCRIÇÃO]]</f>
        <v>SORO FISIOLÓGICO 0,9% 1000ML SISTEMA FECHADO</v>
      </c>
      <c r="C41" s="10" t="str">
        <f>TabelaPrincipal[[#This Row],[UND]]</f>
        <v>BOLSA</v>
      </c>
      <c r="D41" s="9" t="e">
        <f>#REF!</f>
        <v>#REF!</v>
      </c>
      <c r="E41" s="9" t="str">
        <f>TabelaPrincipal[[#This Row],[MARCA]]</f>
        <v>JP</v>
      </c>
      <c r="F41" s="11">
        <f>TabelaPrincipal[[#This Row],[CUSTO + 30%]]</f>
        <v>14.17</v>
      </c>
      <c r="G41" s="12">
        <f>TabelaPrincipal[[#This Row],[VALOR TOTAL]]</f>
        <v>28340</v>
      </c>
      <c r="H41" s="10"/>
    </row>
    <row r="42" spans="1:8" x14ac:dyDescent="0.25">
      <c r="A42" s="8">
        <f>TabelaPrincipal[[#This Row],[ITEM]]</f>
        <v>159</v>
      </c>
      <c r="B42" s="9" t="str">
        <f>TabelaPrincipal[[#This Row],[DESCRIÇÃO]]</f>
        <v>SORO GLICOSADO 5% 500 ML SISTEMA FECHADO</v>
      </c>
      <c r="C42" s="10" t="str">
        <f>TabelaPrincipal[[#This Row],[UND]]</f>
        <v>UNIDADE</v>
      </c>
      <c r="D42" s="9" t="e">
        <f>#REF!</f>
        <v>#REF!</v>
      </c>
      <c r="E42" s="9" t="str">
        <f>TabelaPrincipal[[#This Row],[MARCA]]</f>
        <v>Halex Istar</v>
      </c>
      <c r="F42" s="11">
        <f>TabelaPrincipal[[#This Row],[CUSTO + 30%]]</f>
        <v>12.87</v>
      </c>
      <c r="G42" s="12">
        <f>TabelaPrincipal[[#This Row],[VALOR TOTAL]]</f>
        <v>12870</v>
      </c>
      <c r="H42" s="10"/>
    </row>
    <row r="43" spans="1:8" x14ac:dyDescent="0.25">
      <c r="A43" s="8">
        <f>TabelaPrincipal[[#This Row],[ITEM]]</f>
        <v>162</v>
      </c>
      <c r="B43" s="9" t="str">
        <f>TabelaPrincipal[[#This Row],[DESCRIÇÃO]]</f>
        <v>SORO RINGER COM LACTADO 500ML SISTEMA FECHADO</v>
      </c>
      <c r="C43" s="10" t="str">
        <f>TabelaPrincipal[[#This Row],[UND]]</f>
        <v>UNIDADE</v>
      </c>
      <c r="D43" s="9" t="e">
        <f>#REF!</f>
        <v>#REF!</v>
      </c>
      <c r="E43" s="9" t="str">
        <f>TabelaPrincipal[[#This Row],[MARCA]]</f>
        <v>JP</v>
      </c>
      <c r="F43" s="11">
        <f>TabelaPrincipal[[#This Row],[CUSTO + 30%]]</f>
        <v>12.87</v>
      </c>
      <c r="G43" s="12">
        <f>TabelaPrincipal[[#This Row],[VALOR TOTAL]]</f>
        <v>19305</v>
      </c>
      <c r="H43" s="10"/>
    </row>
    <row r="44" spans="1:8" x14ac:dyDescent="0.25">
      <c r="A44" s="8">
        <f>TabelaPrincipal[[#This Row],[ITEM]]</f>
        <v>163</v>
      </c>
      <c r="B44" s="9" t="str">
        <f>TabelaPrincipal[[#This Row],[DESCRIÇÃO]]</f>
        <v>SULFATO DE ATROPINA 0,250 MG/ML</v>
      </c>
      <c r="C44" s="10" t="str">
        <f>TabelaPrincipal[[#This Row],[UND]]</f>
        <v>AMPOLA</v>
      </c>
      <c r="D44" s="9" t="e">
        <f>#REF!</f>
        <v>#REF!</v>
      </c>
      <c r="E44" s="9" t="str">
        <f>TabelaPrincipal[[#This Row],[MARCA]]</f>
        <v>Farmace</v>
      </c>
      <c r="F44" s="11">
        <f>TabelaPrincipal[[#This Row],[CUSTO + 30%]]</f>
        <v>3.77</v>
      </c>
      <c r="G44" s="12">
        <f>TabelaPrincipal[[#This Row],[VALOR TOTAL]]</f>
        <v>3016</v>
      </c>
      <c r="H44" s="10"/>
    </row>
    <row r="45" spans="1:8" x14ac:dyDescent="0.25">
      <c r="A45" s="8">
        <f>TabelaPrincipal[[#This Row],[ITEM]]</f>
        <v>169</v>
      </c>
      <c r="B45" s="9" t="str">
        <f>TabelaPrincipal[[#This Row],[DESCRIÇÃO]]</f>
        <v>SULFATO DE SALBUTAMOL 100MCG/DOSE AEROSOL 200 DOSES</v>
      </c>
      <c r="C45" s="10" t="str">
        <f>TabelaPrincipal[[#This Row],[UND]]</f>
        <v>FRASCO</v>
      </c>
      <c r="D45" s="9" t="e">
        <f>#REF!</f>
        <v>#REF!</v>
      </c>
      <c r="E45" s="9" t="str">
        <f>TabelaPrincipal[[#This Row],[MARCA]]</f>
        <v>Teuto</v>
      </c>
      <c r="F45" s="11">
        <f>TabelaPrincipal[[#This Row],[CUSTO + 30%]]</f>
        <v>21.48</v>
      </c>
      <c r="G45" s="12">
        <f>TabelaPrincipal[[#This Row],[VALOR TOTAL]]</f>
        <v>2148</v>
      </c>
      <c r="H45" s="10"/>
    </row>
    <row r="46" spans="1:8" x14ac:dyDescent="0.25">
      <c r="A46" s="8">
        <f>TabelaPrincipal[[#This Row],[ITEM]]</f>
        <v>171</v>
      </c>
      <c r="B46" s="9" t="str">
        <f>TabelaPrincipal[[#This Row],[DESCRIÇÃO]]</f>
        <v>TENOXICAN 20 MG FR/AP</v>
      </c>
      <c r="C46" s="10" t="str">
        <f>TabelaPrincipal[[#This Row],[UND]]</f>
        <v>AMPOLA</v>
      </c>
      <c r="D46" s="9" t="e">
        <f>#REF!</f>
        <v>#REF!</v>
      </c>
      <c r="E46" s="9" t="str">
        <f>TabelaPrincipal[[#This Row],[MARCA]]</f>
        <v>Cristália</v>
      </c>
      <c r="F46" s="11">
        <f>TabelaPrincipal[[#This Row],[CUSTO + 30%]]</f>
        <v>11.7</v>
      </c>
      <c r="G46" s="12">
        <f>TabelaPrincipal[[#This Row],[VALOR TOTAL]]</f>
        <v>23400</v>
      </c>
      <c r="H46" s="10"/>
    </row>
    <row r="47" spans="1:8" x14ac:dyDescent="0.25">
      <c r="A47" s="8">
        <f>TabelaPrincipal[[#This Row],[ITEM]]</f>
        <v>173</v>
      </c>
      <c r="B47" s="9" t="str">
        <f>TabelaPrincipal[[#This Row],[DESCRIÇÃO]]</f>
        <v>TRAMANDOL 50 MG/ML AMPOLA 2ML</v>
      </c>
      <c r="C47" s="10" t="str">
        <f>TabelaPrincipal[[#This Row],[UND]]</f>
        <v>AMPOLA</v>
      </c>
      <c r="D47" s="9" t="e">
        <f>#REF!</f>
        <v>#REF!</v>
      </c>
      <c r="E47" s="9" t="str">
        <f>TabelaPrincipal[[#This Row],[MARCA]]</f>
        <v>Teuto</v>
      </c>
      <c r="F47" s="11">
        <f>TabelaPrincipal[[#This Row],[CUSTO + 30%]]</f>
        <v>3.25</v>
      </c>
      <c r="G47" s="12">
        <f>TabelaPrincipal[[#This Row],[VALOR TOTAL]]</f>
        <v>13000</v>
      </c>
      <c r="H47" s="10"/>
    </row>
    <row r="48" spans="1:8" ht="25.5" x14ac:dyDescent="0.25">
      <c r="A48" s="8">
        <f>TabelaPrincipal[[#This Row],[ITEM]]</f>
        <v>182</v>
      </c>
      <c r="B48" s="9" t="str">
        <f>TabelaPrincipal[[#This Row],[DESCRIÇÃO]]</f>
        <v>DIPIRONA SÓDICA 500 MILIGRAMAS/MILILITRO, SOLUÇÃO INJETÁVEL, AMPOLA COM 02 ML</v>
      </c>
      <c r="C48" s="10" t="str">
        <f>TabelaPrincipal[[#This Row],[UND]]</f>
        <v>AMPOLA</v>
      </c>
      <c r="D48" s="9" t="e">
        <f>#REF!</f>
        <v>#REF!</v>
      </c>
      <c r="E48" s="9" t="str">
        <f>TabelaPrincipal[[#This Row],[MARCA]]</f>
        <v>Teuto</v>
      </c>
      <c r="F48" s="11">
        <f>TabelaPrincipal[[#This Row],[CUSTO + 30%]]</f>
        <v>2.08</v>
      </c>
      <c r="G48" s="12">
        <f>TabelaPrincipal[[#This Row],[VALOR TOTAL]]</f>
        <v>2080</v>
      </c>
      <c r="H48" s="10"/>
    </row>
    <row r="49" spans="1:8" ht="25.5" x14ac:dyDescent="0.25">
      <c r="A49" s="8">
        <f>TabelaPrincipal[[#This Row],[ITEM]]</f>
        <v>184</v>
      </c>
      <c r="B49" s="9" t="str">
        <f>TabelaPrincipal[[#This Row],[DESCRIÇÃO]]</f>
        <v>AMOXICILINA+CLAVULANATO 1G+200MG PÓ PARA SOLUÇÃO INJETAVEL INTRAVENOSO</v>
      </c>
      <c r="C49" s="10" t="str">
        <f>TabelaPrincipal[[#This Row],[UND]]</f>
        <v>AMPOLA</v>
      </c>
      <c r="D49" s="9" t="e">
        <f>#REF!</f>
        <v>#REF!</v>
      </c>
      <c r="E49" s="9" t="str">
        <f>TabelaPrincipal[[#This Row],[MARCA]]</f>
        <v>Blau</v>
      </c>
      <c r="F49" s="11">
        <f>TabelaPrincipal[[#This Row],[CUSTO + 30%]]</f>
        <v>23.4</v>
      </c>
      <c r="G49" s="12">
        <f>TabelaPrincipal[[#This Row],[VALOR TOTAL]]</f>
        <v>18720</v>
      </c>
      <c r="H49" s="10"/>
    </row>
    <row r="50" spans="1:8" x14ac:dyDescent="0.25">
      <c r="A50" s="8">
        <f>TabelaPrincipal[[#This Row],[ITEM]]</f>
        <v>190</v>
      </c>
      <c r="B50" s="9" t="str">
        <f>TabelaPrincipal[[#This Row],[DESCRIÇÃO]]</f>
        <v>CLORIDRATO DE CLONIDINA 150MCG/ML SOL INJETAVEL 1ML</v>
      </c>
      <c r="C50" s="10" t="str">
        <f>TabelaPrincipal[[#This Row],[UND]]</f>
        <v>AMPOLA</v>
      </c>
      <c r="D50" s="9" t="e">
        <f>#REF!</f>
        <v>#REF!</v>
      </c>
      <c r="E50" s="9" t="str">
        <f>TabelaPrincipal[[#This Row],[MARCA]]</f>
        <v>Cristália</v>
      </c>
      <c r="F50" s="11">
        <f>TabelaPrincipal[[#This Row],[CUSTO + 30%]]</f>
        <v>14.3</v>
      </c>
      <c r="G50" s="12">
        <f>TabelaPrincipal[[#This Row],[VALOR TOTAL]]</f>
        <v>1716</v>
      </c>
      <c r="H50" s="10"/>
    </row>
    <row r="51" spans="1:8" x14ac:dyDescent="0.25">
      <c r="A51" s="8">
        <f>TabelaPrincipal[[#This Row],[ITEM]]</f>
        <v>191</v>
      </c>
      <c r="B51" s="9" t="str">
        <f>TabelaPrincipal[[#This Row],[DESCRIÇÃO]]</f>
        <v>CETOPROFENO 100MG INJETAVEL INTRAVENOSO</v>
      </c>
      <c r="C51" s="10" t="str">
        <f>TabelaPrincipal[[#This Row],[UND]]</f>
        <v>AMPOLA</v>
      </c>
      <c r="D51" s="9" t="e">
        <f>#REF!</f>
        <v>#REF!</v>
      </c>
      <c r="E51" s="9" t="str">
        <f>TabelaPrincipal[[#This Row],[MARCA]]</f>
        <v>União Química</v>
      </c>
      <c r="F51" s="11">
        <f>TabelaPrincipal[[#This Row],[CUSTO + 30%]]</f>
        <v>7.67</v>
      </c>
      <c r="G51" s="12">
        <f>TabelaPrincipal[[#This Row],[VALOR TOTAL]]</f>
        <v>7670</v>
      </c>
      <c r="H51" s="10"/>
    </row>
    <row r="52" spans="1:8" x14ac:dyDescent="0.25">
      <c r="A52" s="8">
        <f>TabelaPrincipal[[#This Row],[ITEM]]</f>
        <v>195</v>
      </c>
      <c r="B52" s="9" t="str">
        <f>TabelaPrincipal[[#This Row],[DESCRIÇÃO]]</f>
        <v>CEFTRIAXONA 1G IM/IV</v>
      </c>
      <c r="C52" s="10" t="str">
        <f>TabelaPrincipal[[#This Row],[UND]]</f>
        <v>AMPOLA</v>
      </c>
      <c r="D52" s="9" t="e">
        <f>#REF!</f>
        <v>#REF!</v>
      </c>
      <c r="E52" s="9" t="str">
        <f>TabelaPrincipal[[#This Row],[MARCA]]</f>
        <v>Eurofarma</v>
      </c>
      <c r="F52" s="11">
        <f>TabelaPrincipal[[#This Row],[CUSTO + 30%]]</f>
        <v>11.7</v>
      </c>
      <c r="G52" s="12">
        <f>TabelaPrincipal[[#This Row],[VALOR TOTAL]]</f>
        <v>11700</v>
      </c>
      <c r="H52" s="10"/>
    </row>
    <row r="53" spans="1:8" x14ac:dyDescent="0.25">
      <c r="A53" s="14" t="s">
        <v>7</v>
      </c>
      <c r="B53" s="21"/>
      <c r="C53" s="13"/>
      <c r="D53" s="13"/>
      <c r="E53" s="13"/>
      <c r="F53" s="13"/>
      <c r="G53" s="15">
        <f>SUBTOTAL(109,TabelaProposta[VALOR TOTAL])</f>
        <v>799818.5</v>
      </c>
      <c r="H53" s="13" t="str">
        <f>Extenso_Valor(TabelaProposta[[#Totals],[VALOR TOTAL]])</f>
        <v>setecentos e noventa e nove mil, oitocentos e dezoito reais e cinquenta centavos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7462E-3245-4B80-91F2-446F344F7D9D}">
  <dimension ref="A1:D199"/>
  <sheetViews>
    <sheetView workbookViewId="0">
      <selection activeCell="G20" sqref="G20"/>
    </sheetView>
  </sheetViews>
  <sheetFormatPr defaultRowHeight="15" x14ac:dyDescent="0.25"/>
  <sheetData>
    <row r="1" spans="1:4" x14ac:dyDescent="0.25">
      <c r="A1" t="s">
        <v>15</v>
      </c>
      <c r="B1" t="s">
        <v>16</v>
      </c>
      <c r="C1" t="s">
        <v>214</v>
      </c>
      <c r="D1" t="s">
        <v>226</v>
      </c>
    </row>
    <row r="2" spans="1:4" x14ac:dyDescent="0.25">
      <c r="A2">
        <v>1</v>
      </c>
      <c r="B2" t="s">
        <v>17</v>
      </c>
      <c r="C2" t="s">
        <v>215</v>
      </c>
      <c r="D2">
        <v>30</v>
      </c>
    </row>
    <row r="3" spans="1:4" x14ac:dyDescent="0.25">
      <c r="A3">
        <v>2</v>
      </c>
      <c r="B3" t="s">
        <v>18</v>
      </c>
      <c r="C3" t="s">
        <v>216</v>
      </c>
      <c r="D3">
        <v>300</v>
      </c>
    </row>
    <row r="4" spans="1:4" x14ac:dyDescent="0.25">
      <c r="A4">
        <v>3</v>
      </c>
      <c r="B4" t="s">
        <v>19</v>
      </c>
      <c r="C4" t="s">
        <v>217</v>
      </c>
      <c r="D4">
        <v>200</v>
      </c>
    </row>
    <row r="5" spans="1:4" x14ac:dyDescent="0.25">
      <c r="A5">
        <v>4</v>
      </c>
      <c r="B5" t="s">
        <v>20</v>
      </c>
      <c r="C5" t="s">
        <v>218</v>
      </c>
      <c r="D5">
        <v>200</v>
      </c>
    </row>
    <row r="6" spans="1:4" x14ac:dyDescent="0.25">
      <c r="A6">
        <v>5</v>
      </c>
      <c r="B6" t="s">
        <v>21</v>
      </c>
      <c r="C6" t="s">
        <v>218</v>
      </c>
      <c r="D6">
        <v>500</v>
      </c>
    </row>
    <row r="7" spans="1:4" x14ac:dyDescent="0.25">
      <c r="A7">
        <v>6</v>
      </c>
      <c r="B7" t="s">
        <v>22</v>
      </c>
      <c r="C7" t="s">
        <v>218</v>
      </c>
      <c r="D7">
        <v>850</v>
      </c>
    </row>
    <row r="8" spans="1:4" x14ac:dyDescent="0.25">
      <c r="A8">
        <v>7</v>
      </c>
      <c r="B8" t="s">
        <v>23</v>
      </c>
      <c r="C8" t="s">
        <v>218</v>
      </c>
      <c r="D8">
        <v>10000</v>
      </c>
    </row>
    <row r="9" spans="1:4" x14ac:dyDescent="0.25">
      <c r="A9">
        <v>8</v>
      </c>
      <c r="B9" t="s">
        <v>24</v>
      </c>
      <c r="C9" t="s">
        <v>218</v>
      </c>
      <c r="D9">
        <v>200</v>
      </c>
    </row>
    <row r="10" spans="1:4" x14ac:dyDescent="0.25">
      <c r="A10">
        <v>9</v>
      </c>
      <c r="B10" t="s">
        <v>25</v>
      </c>
      <c r="C10" t="s">
        <v>218</v>
      </c>
      <c r="D10">
        <v>200</v>
      </c>
    </row>
    <row r="11" spans="1:4" x14ac:dyDescent="0.25">
      <c r="A11">
        <v>10</v>
      </c>
      <c r="B11" t="s">
        <v>26</v>
      </c>
      <c r="C11" t="s">
        <v>219</v>
      </c>
      <c r="D11">
        <v>60</v>
      </c>
    </row>
    <row r="12" spans="1:4" x14ac:dyDescent="0.25">
      <c r="A12">
        <v>11</v>
      </c>
      <c r="B12" t="s">
        <v>27</v>
      </c>
      <c r="C12" t="s">
        <v>220</v>
      </c>
      <c r="D12">
        <v>120</v>
      </c>
    </row>
    <row r="13" spans="1:4" x14ac:dyDescent="0.25">
      <c r="A13">
        <v>12</v>
      </c>
      <c r="B13" t="s">
        <v>28</v>
      </c>
      <c r="C13" t="s">
        <v>221</v>
      </c>
      <c r="D13">
        <v>800</v>
      </c>
    </row>
    <row r="14" spans="1:4" x14ac:dyDescent="0.25">
      <c r="A14">
        <v>13</v>
      </c>
      <c r="B14" t="s">
        <v>29</v>
      </c>
      <c r="C14" t="s">
        <v>219</v>
      </c>
      <c r="D14">
        <v>100</v>
      </c>
    </row>
    <row r="15" spans="1:4" x14ac:dyDescent="0.25">
      <c r="A15">
        <v>14</v>
      </c>
      <c r="B15" t="s">
        <v>30</v>
      </c>
      <c r="C15" t="s">
        <v>219</v>
      </c>
      <c r="D15">
        <v>200</v>
      </c>
    </row>
    <row r="16" spans="1:4" x14ac:dyDescent="0.25">
      <c r="A16">
        <v>15</v>
      </c>
      <c r="B16" t="s">
        <v>31</v>
      </c>
      <c r="C16" t="s">
        <v>217</v>
      </c>
      <c r="D16">
        <v>100</v>
      </c>
    </row>
    <row r="17" spans="1:4" x14ac:dyDescent="0.25">
      <c r="A17">
        <v>16</v>
      </c>
      <c r="B17" t="s">
        <v>32</v>
      </c>
      <c r="C17" t="s">
        <v>217</v>
      </c>
      <c r="D17">
        <v>100</v>
      </c>
    </row>
    <row r="18" spans="1:4" x14ac:dyDescent="0.25">
      <c r="A18">
        <v>17</v>
      </c>
      <c r="B18" t="s">
        <v>33</v>
      </c>
      <c r="C18" t="s">
        <v>217</v>
      </c>
      <c r="D18">
        <v>500</v>
      </c>
    </row>
    <row r="19" spans="1:4" x14ac:dyDescent="0.25">
      <c r="A19">
        <v>18</v>
      </c>
      <c r="B19" t="s">
        <v>34</v>
      </c>
      <c r="C19" t="s">
        <v>219</v>
      </c>
      <c r="D19">
        <v>50</v>
      </c>
    </row>
    <row r="20" spans="1:4" x14ac:dyDescent="0.25">
      <c r="A20">
        <v>19</v>
      </c>
      <c r="B20" t="s">
        <v>35</v>
      </c>
      <c r="C20" t="s">
        <v>219</v>
      </c>
      <c r="D20">
        <v>200</v>
      </c>
    </row>
    <row r="21" spans="1:4" x14ac:dyDescent="0.25">
      <c r="A21">
        <v>20</v>
      </c>
      <c r="B21" t="s">
        <v>36</v>
      </c>
      <c r="C21" t="s">
        <v>219</v>
      </c>
      <c r="D21">
        <v>1400</v>
      </c>
    </row>
    <row r="22" spans="1:4" x14ac:dyDescent="0.25">
      <c r="A22">
        <v>21</v>
      </c>
      <c r="B22" t="s">
        <v>37</v>
      </c>
      <c r="C22" t="s">
        <v>219</v>
      </c>
      <c r="D22">
        <v>100</v>
      </c>
    </row>
    <row r="23" spans="1:4" x14ac:dyDescent="0.25">
      <c r="A23">
        <v>22</v>
      </c>
      <c r="B23" t="s">
        <v>38</v>
      </c>
      <c r="C23" t="s">
        <v>218</v>
      </c>
      <c r="D23">
        <v>200</v>
      </c>
    </row>
    <row r="24" spans="1:4" x14ac:dyDescent="0.25">
      <c r="A24">
        <v>23</v>
      </c>
      <c r="B24" t="s">
        <v>39</v>
      </c>
      <c r="C24" t="s">
        <v>219</v>
      </c>
      <c r="D24">
        <v>200</v>
      </c>
    </row>
    <row r="25" spans="1:4" x14ac:dyDescent="0.25">
      <c r="A25">
        <v>24</v>
      </c>
      <c r="B25" t="s">
        <v>40</v>
      </c>
      <c r="C25" t="s">
        <v>219</v>
      </c>
      <c r="D25">
        <v>200</v>
      </c>
    </row>
    <row r="26" spans="1:4" x14ac:dyDescent="0.25">
      <c r="A26">
        <v>25</v>
      </c>
      <c r="B26" t="s">
        <v>41</v>
      </c>
      <c r="C26" t="s">
        <v>218</v>
      </c>
      <c r="D26">
        <v>100</v>
      </c>
    </row>
    <row r="27" spans="1:4" x14ac:dyDescent="0.25">
      <c r="A27">
        <v>26</v>
      </c>
      <c r="B27" t="s">
        <v>42</v>
      </c>
      <c r="C27" t="s">
        <v>218</v>
      </c>
      <c r="D27">
        <v>3000</v>
      </c>
    </row>
    <row r="28" spans="1:4" x14ac:dyDescent="0.25">
      <c r="A28">
        <v>27</v>
      </c>
      <c r="B28" t="s">
        <v>43</v>
      </c>
      <c r="C28" t="s">
        <v>217</v>
      </c>
      <c r="D28">
        <v>600</v>
      </c>
    </row>
    <row r="29" spans="1:4" x14ac:dyDescent="0.25">
      <c r="A29">
        <v>28</v>
      </c>
      <c r="B29" t="s">
        <v>44</v>
      </c>
      <c r="C29" t="s">
        <v>222</v>
      </c>
      <c r="D29">
        <v>6</v>
      </c>
    </row>
    <row r="30" spans="1:4" x14ac:dyDescent="0.25">
      <c r="A30">
        <v>29</v>
      </c>
      <c r="B30" t="s">
        <v>45</v>
      </c>
      <c r="C30" t="s">
        <v>217</v>
      </c>
      <c r="D30">
        <v>120</v>
      </c>
    </row>
    <row r="31" spans="1:4" x14ac:dyDescent="0.25">
      <c r="A31">
        <v>30</v>
      </c>
      <c r="B31" t="s">
        <v>46</v>
      </c>
      <c r="C31" t="s">
        <v>217</v>
      </c>
      <c r="D31">
        <v>120</v>
      </c>
    </row>
    <row r="32" spans="1:4" x14ac:dyDescent="0.25">
      <c r="A32">
        <v>31</v>
      </c>
      <c r="B32" t="s">
        <v>47</v>
      </c>
      <c r="C32" t="s">
        <v>218</v>
      </c>
      <c r="D32">
        <v>50</v>
      </c>
    </row>
    <row r="33" spans="1:4" x14ac:dyDescent="0.25">
      <c r="A33">
        <v>32</v>
      </c>
      <c r="B33" t="s">
        <v>48</v>
      </c>
      <c r="C33" t="s">
        <v>220</v>
      </c>
      <c r="D33">
        <v>60</v>
      </c>
    </row>
    <row r="34" spans="1:4" x14ac:dyDescent="0.25">
      <c r="A34">
        <v>33</v>
      </c>
      <c r="B34" t="s">
        <v>49</v>
      </c>
      <c r="C34" t="s">
        <v>219</v>
      </c>
      <c r="D34">
        <v>10</v>
      </c>
    </row>
    <row r="35" spans="1:4" x14ac:dyDescent="0.25">
      <c r="A35">
        <v>34</v>
      </c>
      <c r="B35" t="s">
        <v>50</v>
      </c>
      <c r="C35" t="s">
        <v>219</v>
      </c>
      <c r="D35">
        <v>2000</v>
      </c>
    </row>
    <row r="36" spans="1:4" x14ac:dyDescent="0.25">
      <c r="A36">
        <v>35</v>
      </c>
      <c r="B36" t="s">
        <v>51</v>
      </c>
      <c r="C36" t="s">
        <v>221</v>
      </c>
      <c r="D36">
        <v>500</v>
      </c>
    </row>
    <row r="37" spans="1:4" x14ac:dyDescent="0.25">
      <c r="A37">
        <v>36</v>
      </c>
      <c r="B37" t="s">
        <v>52</v>
      </c>
      <c r="C37" t="s">
        <v>219</v>
      </c>
      <c r="D37">
        <v>3000</v>
      </c>
    </row>
    <row r="38" spans="1:4" x14ac:dyDescent="0.25">
      <c r="A38">
        <v>37</v>
      </c>
      <c r="B38" t="s">
        <v>53</v>
      </c>
      <c r="C38" t="s">
        <v>219</v>
      </c>
      <c r="D38">
        <v>200</v>
      </c>
    </row>
    <row r="39" spans="1:4" x14ac:dyDescent="0.25">
      <c r="A39">
        <v>38</v>
      </c>
      <c r="B39" t="s">
        <v>54</v>
      </c>
      <c r="C39" t="s">
        <v>217</v>
      </c>
      <c r="D39">
        <v>60</v>
      </c>
    </row>
    <row r="40" spans="1:4" x14ac:dyDescent="0.25">
      <c r="A40">
        <v>39</v>
      </c>
      <c r="B40" t="s">
        <v>55</v>
      </c>
      <c r="C40" t="s">
        <v>223</v>
      </c>
      <c r="D40">
        <v>60</v>
      </c>
    </row>
    <row r="41" spans="1:4" x14ac:dyDescent="0.25">
      <c r="A41">
        <v>40</v>
      </c>
      <c r="B41" t="s">
        <v>56</v>
      </c>
      <c r="C41" t="s">
        <v>218</v>
      </c>
      <c r="D41">
        <v>1400</v>
      </c>
    </row>
    <row r="42" spans="1:4" x14ac:dyDescent="0.25">
      <c r="A42">
        <v>41</v>
      </c>
      <c r="B42" t="s">
        <v>57</v>
      </c>
      <c r="C42" t="s">
        <v>217</v>
      </c>
      <c r="D42">
        <v>200</v>
      </c>
    </row>
    <row r="43" spans="1:4" x14ac:dyDescent="0.25">
      <c r="A43">
        <v>42</v>
      </c>
      <c r="B43" t="s">
        <v>58</v>
      </c>
      <c r="C43" t="s">
        <v>219</v>
      </c>
      <c r="D43">
        <v>400</v>
      </c>
    </row>
    <row r="44" spans="1:4" x14ac:dyDescent="0.25">
      <c r="A44">
        <v>43</v>
      </c>
      <c r="B44" t="s">
        <v>59</v>
      </c>
      <c r="C44" t="s">
        <v>218</v>
      </c>
      <c r="D44">
        <v>400</v>
      </c>
    </row>
    <row r="45" spans="1:4" x14ac:dyDescent="0.25">
      <c r="A45">
        <v>44</v>
      </c>
      <c r="B45" t="s">
        <v>60</v>
      </c>
      <c r="C45" t="s">
        <v>218</v>
      </c>
      <c r="D45">
        <v>600</v>
      </c>
    </row>
    <row r="46" spans="1:4" x14ac:dyDescent="0.25">
      <c r="A46">
        <v>45</v>
      </c>
      <c r="B46" t="s">
        <v>61</v>
      </c>
      <c r="C46" t="s">
        <v>217</v>
      </c>
      <c r="D46">
        <v>365</v>
      </c>
    </row>
    <row r="47" spans="1:4" x14ac:dyDescent="0.25">
      <c r="A47">
        <v>46</v>
      </c>
      <c r="B47" t="s">
        <v>62</v>
      </c>
      <c r="C47" t="s">
        <v>218</v>
      </c>
      <c r="D47">
        <v>400</v>
      </c>
    </row>
    <row r="48" spans="1:4" x14ac:dyDescent="0.25">
      <c r="A48">
        <v>47</v>
      </c>
      <c r="B48" t="s">
        <v>63</v>
      </c>
      <c r="C48" t="s">
        <v>218</v>
      </c>
      <c r="D48">
        <v>400</v>
      </c>
    </row>
    <row r="49" spans="1:4" x14ac:dyDescent="0.25">
      <c r="A49">
        <v>48</v>
      </c>
      <c r="B49" t="s">
        <v>64</v>
      </c>
      <c r="C49" t="s">
        <v>219</v>
      </c>
      <c r="D49">
        <v>50</v>
      </c>
    </row>
    <row r="50" spans="1:4" x14ac:dyDescent="0.25">
      <c r="A50">
        <v>49</v>
      </c>
      <c r="B50" t="s">
        <v>65</v>
      </c>
      <c r="C50" t="s">
        <v>219</v>
      </c>
      <c r="D50">
        <v>300</v>
      </c>
    </row>
    <row r="51" spans="1:4" x14ac:dyDescent="0.25">
      <c r="A51">
        <v>50</v>
      </c>
      <c r="B51" t="s">
        <v>66</v>
      </c>
      <c r="C51" t="s">
        <v>216</v>
      </c>
      <c r="D51">
        <v>30</v>
      </c>
    </row>
    <row r="52" spans="1:4" x14ac:dyDescent="0.25">
      <c r="A52">
        <v>51</v>
      </c>
      <c r="B52" t="s">
        <v>67</v>
      </c>
      <c r="C52" t="s">
        <v>219</v>
      </c>
      <c r="D52">
        <v>200</v>
      </c>
    </row>
    <row r="53" spans="1:4" x14ac:dyDescent="0.25">
      <c r="A53">
        <v>52</v>
      </c>
      <c r="B53" t="s">
        <v>68</v>
      </c>
      <c r="C53" t="s">
        <v>218</v>
      </c>
      <c r="D53">
        <v>200</v>
      </c>
    </row>
    <row r="54" spans="1:4" x14ac:dyDescent="0.25">
      <c r="A54">
        <v>53</v>
      </c>
      <c r="B54" t="s">
        <v>69</v>
      </c>
      <c r="C54" t="s">
        <v>218</v>
      </c>
      <c r="D54">
        <v>100</v>
      </c>
    </row>
    <row r="55" spans="1:4" x14ac:dyDescent="0.25">
      <c r="A55">
        <v>54</v>
      </c>
      <c r="B55" t="s">
        <v>70</v>
      </c>
      <c r="C55" t="s">
        <v>219</v>
      </c>
      <c r="D55">
        <v>100</v>
      </c>
    </row>
    <row r="56" spans="1:4" x14ac:dyDescent="0.25">
      <c r="A56">
        <v>55</v>
      </c>
      <c r="B56" t="s">
        <v>71</v>
      </c>
      <c r="C56" t="s">
        <v>219</v>
      </c>
      <c r="D56">
        <v>60</v>
      </c>
    </row>
    <row r="57" spans="1:4" x14ac:dyDescent="0.25">
      <c r="A57">
        <v>56</v>
      </c>
      <c r="B57" t="s">
        <v>72</v>
      </c>
      <c r="C57" t="s">
        <v>216</v>
      </c>
      <c r="D57">
        <v>60</v>
      </c>
    </row>
    <row r="58" spans="1:4" x14ac:dyDescent="0.25">
      <c r="A58">
        <v>57</v>
      </c>
      <c r="B58" t="s">
        <v>73</v>
      </c>
      <c r="C58" t="s">
        <v>219</v>
      </c>
      <c r="D58">
        <v>500</v>
      </c>
    </row>
    <row r="59" spans="1:4" x14ac:dyDescent="0.25">
      <c r="A59">
        <v>58</v>
      </c>
      <c r="B59" t="s">
        <v>74</v>
      </c>
      <c r="C59" t="s">
        <v>219</v>
      </c>
      <c r="D59">
        <v>150</v>
      </c>
    </row>
    <row r="60" spans="1:4" x14ac:dyDescent="0.25">
      <c r="A60">
        <v>59</v>
      </c>
      <c r="B60" t="s">
        <v>75</v>
      </c>
      <c r="C60" t="s">
        <v>219</v>
      </c>
      <c r="D60">
        <v>800</v>
      </c>
    </row>
    <row r="61" spans="1:4" x14ac:dyDescent="0.25">
      <c r="A61">
        <v>60</v>
      </c>
      <c r="B61" t="s">
        <v>76</v>
      </c>
      <c r="C61" t="s">
        <v>219</v>
      </c>
      <c r="D61">
        <v>2000</v>
      </c>
    </row>
    <row r="62" spans="1:4" x14ac:dyDescent="0.25">
      <c r="A62">
        <v>61</v>
      </c>
      <c r="B62" t="s">
        <v>77</v>
      </c>
      <c r="C62" t="s">
        <v>218</v>
      </c>
      <c r="D62">
        <v>50</v>
      </c>
    </row>
    <row r="63" spans="1:4" x14ac:dyDescent="0.25">
      <c r="A63">
        <v>62</v>
      </c>
      <c r="B63" t="s">
        <v>78</v>
      </c>
      <c r="C63" t="s">
        <v>218</v>
      </c>
      <c r="D63">
        <v>1200</v>
      </c>
    </row>
    <row r="64" spans="1:4" x14ac:dyDescent="0.25">
      <c r="A64">
        <v>63</v>
      </c>
      <c r="B64" t="s">
        <v>79</v>
      </c>
      <c r="C64" t="s">
        <v>218</v>
      </c>
      <c r="D64">
        <v>2000</v>
      </c>
    </row>
    <row r="65" spans="1:4" x14ac:dyDescent="0.25">
      <c r="A65">
        <v>64</v>
      </c>
      <c r="B65" t="s">
        <v>80</v>
      </c>
      <c r="C65" t="s">
        <v>216</v>
      </c>
      <c r="D65">
        <v>100</v>
      </c>
    </row>
    <row r="66" spans="1:4" x14ac:dyDescent="0.25">
      <c r="A66">
        <v>65</v>
      </c>
      <c r="B66" t="s">
        <v>81</v>
      </c>
      <c r="C66" t="s">
        <v>218</v>
      </c>
      <c r="D66">
        <v>8000</v>
      </c>
    </row>
    <row r="67" spans="1:4" x14ac:dyDescent="0.25">
      <c r="A67">
        <v>66</v>
      </c>
      <c r="B67" t="s">
        <v>82</v>
      </c>
      <c r="C67" t="s">
        <v>217</v>
      </c>
      <c r="D67">
        <v>100</v>
      </c>
    </row>
    <row r="68" spans="1:4" x14ac:dyDescent="0.25">
      <c r="A68">
        <v>67</v>
      </c>
      <c r="B68" t="s">
        <v>83</v>
      </c>
      <c r="C68" t="s">
        <v>219</v>
      </c>
      <c r="D68">
        <v>50</v>
      </c>
    </row>
    <row r="69" spans="1:4" x14ac:dyDescent="0.25">
      <c r="A69">
        <v>68</v>
      </c>
      <c r="B69" t="s">
        <v>84</v>
      </c>
      <c r="C69" t="s">
        <v>218</v>
      </c>
      <c r="D69">
        <v>600</v>
      </c>
    </row>
    <row r="70" spans="1:4" x14ac:dyDescent="0.25">
      <c r="A70">
        <v>69</v>
      </c>
      <c r="B70" t="s">
        <v>85</v>
      </c>
      <c r="C70" t="s">
        <v>216</v>
      </c>
      <c r="D70">
        <v>300</v>
      </c>
    </row>
    <row r="71" spans="1:4" x14ac:dyDescent="0.25">
      <c r="A71">
        <v>70</v>
      </c>
      <c r="B71" t="s">
        <v>86</v>
      </c>
      <c r="C71" t="s">
        <v>218</v>
      </c>
      <c r="D71">
        <v>5000</v>
      </c>
    </row>
    <row r="72" spans="1:4" x14ac:dyDescent="0.25">
      <c r="A72">
        <v>71</v>
      </c>
      <c r="B72" t="s">
        <v>87</v>
      </c>
      <c r="C72" t="s">
        <v>216</v>
      </c>
      <c r="D72">
        <v>30</v>
      </c>
    </row>
    <row r="73" spans="1:4" x14ac:dyDescent="0.25">
      <c r="A73">
        <v>72</v>
      </c>
      <c r="B73" t="s">
        <v>88</v>
      </c>
      <c r="C73" t="s">
        <v>218</v>
      </c>
      <c r="D73">
        <v>1000</v>
      </c>
    </row>
    <row r="74" spans="1:4" x14ac:dyDescent="0.25">
      <c r="A74">
        <v>73</v>
      </c>
      <c r="B74" t="s">
        <v>89</v>
      </c>
      <c r="C74" t="s">
        <v>216</v>
      </c>
      <c r="D74">
        <v>120</v>
      </c>
    </row>
    <row r="75" spans="1:4" x14ac:dyDescent="0.25">
      <c r="A75">
        <v>74</v>
      </c>
      <c r="B75" t="s">
        <v>90</v>
      </c>
      <c r="C75" t="s">
        <v>218</v>
      </c>
      <c r="D75">
        <v>8000</v>
      </c>
    </row>
    <row r="76" spans="1:4" x14ac:dyDescent="0.25">
      <c r="A76">
        <v>75</v>
      </c>
      <c r="B76" t="s">
        <v>91</v>
      </c>
      <c r="C76" t="s">
        <v>218</v>
      </c>
      <c r="D76">
        <v>250</v>
      </c>
    </row>
    <row r="77" spans="1:4" x14ac:dyDescent="0.25">
      <c r="A77">
        <v>76</v>
      </c>
      <c r="B77" t="s">
        <v>92</v>
      </c>
      <c r="C77" t="s">
        <v>218</v>
      </c>
      <c r="D77">
        <v>100</v>
      </c>
    </row>
    <row r="78" spans="1:4" x14ac:dyDescent="0.25">
      <c r="A78">
        <v>77</v>
      </c>
      <c r="B78" t="s">
        <v>93</v>
      </c>
      <c r="C78" t="s">
        <v>218</v>
      </c>
      <c r="D78">
        <v>200</v>
      </c>
    </row>
    <row r="79" spans="1:4" x14ac:dyDescent="0.25">
      <c r="A79">
        <v>78</v>
      </c>
      <c r="B79" t="s">
        <v>94</v>
      </c>
      <c r="C79" t="s">
        <v>216</v>
      </c>
      <c r="D79">
        <v>100</v>
      </c>
    </row>
    <row r="80" spans="1:4" x14ac:dyDescent="0.25">
      <c r="A80">
        <v>79</v>
      </c>
      <c r="B80" t="s">
        <v>95</v>
      </c>
      <c r="C80" t="s">
        <v>216</v>
      </c>
      <c r="D80">
        <v>100</v>
      </c>
    </row>
    <row r="81" spans="1:4" x14ac:dyDescent="0.25">
      <c r="A81">
        <v>80</v>
      </c>
      <c r="B81" t="s">
        <v>96</v>
      </c>
      <c r="C81" t="s">
        <v>223</v>
      </c>
      <c r="D81">
        <v>500</v>
      </c>
    </row>
    <row r="82" spans="1:4" x14ac:dyDescent="0.25">
      <c r="A82">
        <v>81</v>
      </c>
      <c r="B82" t="s">
        <v>97</v>
      </c>
      <c r="C82" t="s">
        <v>216</v>
      </c>
      <c r="D82">
        <v>1000</v>
      </c>
    </row>
    <row r="83" spans="1:4" x14ac:dyDescent="0.25">
      <c r="A83">
        <v>82</v>
      </c>
      <c r="B83" t="s">
        <v>98</v>
      </c>
      <c r="C83" t="s">
        <v>216</v>
      </c>
      <c r="D83">
        <v>30</v>
      </c>
    </row>
    <row r="84" spans="1:4" x14ac:dyDescent="0.25">
      <c r="A84">
        <v>83</v>
      </c>
      <c r="B84" t="s">
        <v>99</v>
      </c>
      <c r="C84" t="s">
        <v>216</v>
      </c>
      <c r="D84">
        <v>120</v>
      </c>
    </row>
    <row r="85" spans="1:4" x14ac:dyDescent="0.25">
      <c r="A85">
        <v>84</v>
      </c>
      <c r="B85" t="s">
        <v>100</v>
      </c>
      <c r="C85" t="s">
        <v>218</v>
      </c>
      <c r="D85">
        <v>800</v>
      </c>
    </row>
    <row r="86" spans="1:4" x14ac:dyDescent="0.25">
      <c r="A86">
        <v>85</v>
      </c>
      <c r="B86" t="s">
        <v>101</v>
      </c>
      <c r="C86" t="s">
        <v>216</v>
      </c>
      <c r="D86">
        <v>200</v>
      </c>
    </row>
    <row r="87" spans="1:4" x14ac:dyDescent="0.25">
      <c r="A87">
        <v>86</v>
      </c>
      <c r="B87" t="s">
        <v>102</v>
      </c>
      <c r="C87" t="s">
        <v>216</v>
      </c>
      <c r="D87">
        <v>30</v>
      </c>
    </row>
    <row r="88" spans="1:4" x14ac:dyDescent="0.25">
      <c r="A88">
        <v>87</v>
      </c>
      <c r="B88" t="s">
        <v>103</v>
      </c>
      <c r="C88" t="s">
        <v>218</v>
      </c>
      <c r="D88">
        <v>100</v>
      </c>
    </row>
    <row r="89" spans="1:4" x14ac:dyDescent="0.25">
      <c r="A89">
        <v>88</v>
      </c>
      <c r="B89" t="s">
        <v>104</v>
      </c>
      <c r="C89" t="s">
        <v>216</v>
      </c>
      <c r="D89">
        <v>20</v>
      </c>
    </row>
    <row r="90" spans="1:4" x14ac:dyDescent="0.25">
      <c r="A90">
        <v>89</v>
      </c>
      <c r="B90" t="s">
        <v>105</v>
      </c>
      <c r="C90" t="s">
        <v>218</v>
      </c>
      <c r="D90">
        <v>100</v>
      </c>
    </row>
    <row r="91" spans="1:4" x14ac:dyDescent="0.25">
      <c r="A91">
        <v>90</v>
      </c>
      <c r="B91" t="s">
        <v>106</v>
      </c>
      <c r="C91" t="s">
        <v>219</v>
      </c>
      <c r="D91">
        <v>100</v>
      </c>
    </row>
    <row r="92" spans="1:4" x14ac:dyDescent="0.25">
      <c r="A92">
        <v>91</v>
      </c>
      <c r="B92" t="s">
        <v>107</v>
      </c>
      <c r="C92" t="s">
        <v>218</v>
      </c>
      <c r="D92">
        <v>600</v>
      </c>
    </row>
    <row r="93" spans="1:4" x14ac:dyDescent="0.25">
      <c r="A93">
        <v>92</v>
      </c>
      <c r="B93" t="s">
        <v>108</v>
      </c>
      <c r="C93" t="s">
        <v>218</v>
      </c>
      <c r="D93">
        <v>60</v>
      </c>
    </row>
    <row r="94" spans="1:4" x14ac:dyDescent="0.25">
      <c r="A94">
        <v>93</v>
      </c>
      <c r="B94" t="s">
        <v>109</v>
      </c>
      <c r="C94" t="s">
        <v>218</v>
      </c>
      <c r="D94">
        <v>600</v>
      </c>
    </row>
    <row r="95" spans="1:4" x14ac:dyDescent="0.25">
      <c r="A95">
        <v>94</v>
      </c>
      <c r="B95" t="s">
        <v>110</v>
      </c>
      <c r="C95" t="s">
        <v>216</v>
      </c>
      <c r="D95">
        <v>100</v>
      </c>
    </row>
    <row r="96" spans="1:4" x14ac:dyDescent="0.25">
      <c r="A96">
        <v>95</v>
      </c>
      <c r="B96" t="s">
        <v>111</v>
      </c>
      <c r="C96" t="s">
        <v>218</v>
      </c>
      <c r="D96">
        <v>450</v>
      </c>
    </row>
    <row r="97" spans="1:4" x14ac:dyDescent="0.25">
      <c r="A97">
        <v>96</v>
      </c>
      <c r="B97" t="s">
        <v>112</v>
      </c>
      <c r="C97" t="s">
        <v>216</v>
      </c>
      <c r="D97">
        <v>100</v>
      </c>
    </row>
    <row r="98" spans="1:4" x14ac:dyDescent="0.25">
      <c r="A98">
        <v>97</v>
      </c>
      <c r="B98" t="s">
        <v>113</v>
      </c>
      <c r="C98" t="s">
        <v>216</v>
      </c>
      <c r="D98">
        <v>150</v>
      </c>
    </row>
    <row r="99" spans="1:4" x14ac:dyDescent="0.25">
      <c r="A99">
        <v>98</v>
      </c>
      <c r="B99" t="s">
        <v>114</v>
      </c>
      <c r="C99" t="s">
        <v>218</v>
      </c>
      <c r="D99">
        <v>200</v>
      </c>
    </row>
    <row r="100" spans="1:4" x14ac:dyDescent="0.25">
      <c r="A100">
        <v>99</v>
      </c>
      <c r="B100" t="s">
        <v>115</v>
      </c>
      <c r="C100" t="s">
        <v>218</v>
      </c>
      <c r="D100">
        <v>2300</v>
      </c>
    </row>
    <row r="101" spans="1:4" x14ac:dyDescent="0.25">
      <c r="A101">
        <v>100</v>
      </c>
      <c r="B101" t="s">
        <v>116</v>
      </c>
      <c r="C101" t="s">
        <v>218</v>
      </c>
      <c r="D101">
        <v>200</v>
      </c>
    </row>
    <row r="102" spans="1:4" x14ac:dyDescent="0.25">
      <c r="A102">
        <v>101</v>
      </c>
      <c r="B102" t="s">
        <v>117</v>
      </c>
      <c r="C102" t="s">
        <v>218</v>
      </c>
      <c r="D102">
        <v>200</v>
      </c>
    </row>
    <row r="103" spans="1:4" x14ac:dyDescent="0.25">
      <c r="A103">
        <v>102</v>
      </c>
      <c r="B103" t="s">
        <v>118</v>
      </c>
      <c r="C103" t="s">
        <v>218</v>
      </c>
      <c r="D103">
        <v>1000</v>
      </c>
    </row>
    <row r="104" spans="1:4" x14ac:dyDescent="0.25">
      <c r="A104">
        <v>103</v>
      </c>
      <c r="B104" t="s">
        <v>119</v>
      </c>
      <c r="C104" t="s">
        <v>218</v>
      </c>
      <c r="D104">
        <v>50</v>
      </c>
    </row>
    <row r="105" spans="1:4" x14ac:dyDescent="0.25">
      <c r="A105">
        <v>104</v>
      </c>
      <c r="B105" t="s">
        <v>120</v>
      </c>
      <c r="C105" t="s">
        <v>218</v>
      </c>
      <c r="D105">
        <v>100</v>
      </c>
    </row>
    <row r="106" spans="1:4" x14ac:dyDescent="0.25">
      <c r="A106">
        <v>105</v>
      </c>
      <c r="B106" t="s">
        <v>121</v>
      </c>
      <c r="C106" t="s">
        <v>224</v>
      </c>
      <c r="D106">
        <v>200</v>
      </c>
    </row>
    <row r="107" spans="1:4" x14ac:dyDescent="0.25">
      <c r="A107">
        <v>106</v>
      </c>
      <c r="B107" t="s">
        <v>122</v>
      </c>
      <c r="C107" t="s">
        <v>221</v>
      </c>
      <c r="D107">
        <v>1600</v>
      </c>
    </row>
    <row r="108" spans="1:4" x14ac:dyDescent="0.25">
      <c r="A108">
        <v>107</v>
      </c>
      <c r="B108" t="s">
        <v>123</v>
      </c>
      <c r="C108" t="s">
        <v>218</v>
      </c>
      <c r="D108">
        <v>1000</v>
      </c>
    </row>
    <row r="109" spans="1:4" x14ac:dyDescent="0.25">
      <c r="A109">
        <v>108</v>
      </c>
      <c r="B109" t="s">
        <v>124</v>
      </c>
      <c r="C109" t="s">
        <v>219</v>
      </c>
      <c r="D109">
        <v>6</v>
      </c>
    </row>
    <row r="110" spans="1:4" x14ac:dyDescent="0.25">
      <c r="A110">
        <v>109</v>
      </c>
      <c r="B110" t="s">
        <v>125</v>
      </c>
      <c r="C110" t="s">
        <v>219</v>
      </c>
      <c r="D110">
        <v>20</v>
      </c>
    </row>
    <row r="111" spans="1:4" x14ac:dyDescent="0.25">
      <c r="A111">
        <v>110</v>
      </c>
      <c r="B111" t="s">
        <v>126</v>
      </c>
      <c r="C111" t="s">
        <v>221</v>
      </c>
      <c r="D111">
        <v>20</v>
      </c>
    </row>
    <row r="112" spans="1:4" x14ac:dyDescent="0.25">
      <c r="A112">
        <v>111</v>
      </c>
      <c r="B112" t="s">
        <v>127</v>
      </c>
      <c r="C112" t="s">
        <v>217</v>
      </c>
      <c r="D112">
        <v>120</v>
      </c>
    </row>
    <row r="113" spans="1:4" x14ac:dyDescent="0.25">
      <c r="A113">
        <v>112</v>
      </c>
      <c r="B113" t="s">
        <v>128</v>
      </c>
      <c r="C113" t="s">
        <v>217</v>
      </c>
      <c r="D113">
        <v>40</v>
      </c>
    </row>
    <row r="114" spans="1:4" x14ac:dyDescent="0.25">
      <c r="A114">
        <v>113</v>
      </c>
      <c r="B114" t="s">
        <v>129</v>
      </c>
      <c r="C114" t="s">
        <v>217</v>
      </c>
      <c r="D114">
        <v>50</v>
      </c>
    </row>
    <row r="115" spans="1:4" x14ac:dyDescent="0.25">
      <c r="A115">
        <v>114</v>
      </c>
      <c r="B115" t="s">
        <v>130</v>
      </c>
      <c r="C115" t="s">
        <v>219</v>
      </c>
      <c r="D115">
        <v>300</v>
      </c>
    </row>
    <row r="116" spans="1:4" x14ac:dyDescent="0.25">
      <c r="A116">
        <v>115</v>
      </c>
      <c r="B116" t="s">
        <v>131</v>
      </c>
      <c r="C116" t="s">
        <v>219</v>
      </c>
      <c r="D116">
        <v>12</v>
      </c>
    </row>
    <row r="117" spans="1:4" x14ac:dyDescent="0.25">
      <c r="A117">
        <v>116</v>
      </c>
      <c r="B117" t="s">
        <v>132</v>
      </c>
      <c r="C117" t="s">
        <v>219</v>
      </c>
      <c r="D117">
        <v>200</v>
      </c>
    </row>
    <row r="118" spans="1:4" x14ac:dyDescent="0.25">
      <c r="A118">
        <v>117</v>
      </c>
      <c r="B118" t="s">
        <v>133</v>
      </c>
      <c r="C118" t="s">
        <v>218</v>
      </c>
      <c r="D118">
        <v>200</v>
      </c>
    </row>
    <row r="119" spans="1:4" x14ac:dyDescent="0.25">
      <c r="A119">
        <v>118</v>
      </c>
      <c r="B119" t="s">
        <v>134</v>
      </c>
      <c r="C119" t="s">
        <v>219</v>
      </c>
      <c r="D119">
        <v>60</v>
      </c>
    </row>
    <row r="120" spans="1:4" x14ac:dyDescent="0.25">
      <c r="A120">
        <v>119</v>
      </c>
      <c r="B120" t="s">
        <v>135</v>
      </c>
      <c r="C120" t="s">
        <v>216</v>
      </c>
      <c r="D120">
        <v>100</v>
      </c>
    </row>
    <row r="121" spans="1:4" x14ac:dyDescent="0.25">
      <c r="A121">
        <v>120</v>
      </c>
      <c r="B121" t="s">
        <v>136</v>
      </c>
      <c r="C121" t="s">
        <v>216</v>
      </c>
      <c r="D121">
        <v>100</v>
      </c>
    </row>
    <row r="122" spans="1:4" x14ac:dyDescent="0.25">
      <c r="A122">
        <v>121</v>
      </c>
      <c r="B122" t="s">
        <v>137</v>
      </c>
      <c r="C122" t="s">
        <v>216</v>
      </c>
      <c r="D122">
        <v>100</v>
      </c>
    </row>
    <row r="123" spans="1:4" x14ac:dyDescent="0.25">
      <c r="A123">
        <v>122</v>
      </c>
      <c r="B123" t="s">
        <v>138</v>
      </c>
      <c r="C123" t="s">
        <v>225</v>
      </c>
      <c r="D123">
        <v>600</v>
      </c>
    </row>
    <row r="124" spans="1:4" x14ac:dyDescent="0.25">
      <c r="A124">
        <v>123</v>
      </c>
      <c r="B124" t="s">
        <v>139</v>
      </c>
      <c r="C124" t="s">
        <v>216</v>
      </c>
      <c r="D124">
        <v>60</v>
      </c>
    </row>
    <row r="125" spans="1:4" x14ac:dyDescent="0.25">
      <c r="A125">
        <v>124</v>
      </c>
      <c r="B125" t="s">
        <v>140</v>
      </c>
      <c r="C125" t="s">
        <v>218</v>
      </c>
      <c r="D125">
        <v>1000</v>
      </c>
    </row>
    <row r="126" spans="1:4" x14ac:dyDescent="0.25">
      <c r="A126">
        <v>125</v>
      </c>
      <c r="B126" t="s">
        <v>141</v>
      </c>
      <c r="C126" t="s">
        <v>218</v>
      </c>
      <c r="D126">
        <v>500</v>
      </c>
    </row>
    <row r="127" spans="1:4" x14ac:dyDescent="0.25">
      <c r="A127">
        <v>126</v>
      </c>
      <c r="B127" t="s">
        <v>142</v>
      </c>
      <c r="C127" t="s">
        <v>218</v>
      </c>
      <c r="D127">
        <v>300</v>
      </c>
    </row>
    <row r="128" spans="1:4" x14ac:dyDescent="0.25">
      <c r="A128">
        <v>127</v>
      </c>
      <c r="B128" t="s">
        <v>143</v>
      </c>
      <c r="C128" t="s">
        <v>218</v>
      </c>
      <c r="D128">
        <v>40</v>
      </c>
    </row>
    <row r="129" spans="1:4" x14ac:dyDescent="0.25">
      <c r="A129">
        <v>128</v>
      </c>
      <c r="B129" t="s">
        <v>144</v>
      </c>
      <c r="C129" t="s">
        <v>218</v>
      </c>
      <c r="D129">
        <v>50</v>
      </c>
    </row>
    <row r="130" spans="1:4" x14ac:dyDescent="0.25">
      <c r="A130">
        <v>129</v>
      </c>
      <c r="B130" t="s">
        <v>145</v>
      </c>
      <c r="C130" t="s">
        <v>216</v>
      </c>
      <c r="D130">
        <v>200</v>
      </c>
    </row>
    <row r="131" spans="1:4" x14ac:dyDescent="0.25">
      <c r="A131">
        <v>130</v>
      </c>
      <c r="B131" t="s">
        <v>146</v>
      </c>
      <c r="C131" t="s">
        <v>218</v>
      </c>
      <c r="D131">
        <v>60</v>
      </c>
    </row>
    <row r="132" spans="1:4" x14ac:dyDescent="0.25">
      <c r="A132">
        <v>131</v>
      </c>
      <c r="B132" t="s">
        <v>147</v>
      </c>
      <c r="C132" t="s">
        <v>218</v>
      </c>
      <c r="D132">
        <v>60</v>
      </c>
    </row>
    <row r="133" spans="1:4" x14ac:dyDescent="0.25">
      <c r="A133">
        <v>132</v>
      </c>
      <c r="B133" t="s">
        <v>148</v>
      </c>
      <c r="C133" t="s">
        <v>218</v>
      </c>
      <c r="D133">
        <v>500</v>
      </c>
    </row>
    <row r="134" spans="1:4" x14ac:dyDescent="0.25">
      <c r="A134">
        <v>133</v>
      </c>
      <c r="B134" t="s">
        <v>149</v>
      </c>
      <c r="C134" t="s">
        <v>221</v>
      </c>
      <c r="D134">
        <v>3000</v>
      </c>
    </row>
    <row r="135" spans="1:4" x14ac:dyDescent="0.25">
      <c r="A135">
        <v>134</v>
      </c>
      <c r="B135" t="s">
        <v>150</v>
      </c>
      <c r="C135" t="s">
        <v>217</v>
      </c>
      <c r="D135">
        <v>400</v>
      </c>
    </row>
    <row r="136" spans="1:4" x14ac:dyDescent="0.25">
      <c r="A136">
        <v>135</v>
      </c>
      <c r="B136" t="s">
        <v>151</v>
      </c>
      <c r="C136" t="s">
        <v>216</v>
      </c>
      <c r="D136">
        <v>4000</v>
      </c>
    </row>
    <row r="137" spans="1:4" x14ac:dyDescent="0.25">
      <c r="A137">
        <v>136</v>
      </c>
      <c r="B137" t="s">
        <v>152</v>
      </c>
      <c r="C137" t="s">
        <v>219</v>
      </c>
      <c r="D137">
        <v>150</v>
      </c>
    </row>
    <row r="138" spans="1:4" x14ac:dyDescent="0.25">
      <c r="A138">
        <v>137</v>
      </c>
      <c r="B138" t="s">
        <v>153</v>
      </c>
      <c r="C138" t="s">
        <v>219</v>
      </c>
      <c r="D138">
        <v>1000</v>
      </c>
    </row>
    <row r="139" spans="1:4" x14ac:dyDescent="0.25">
      <c r="A139">
        <v>138</v>
      </c>
      <c r="B139" t="s">
        <v>154</v>
      </c>
      <c r="C139" t="s">
        <v>218</v>
      </c>
      <c r="D139">
        <v>200</v>
      </c>
    </row>
    <row r="140" spans="1:4" x14ac:dyDescent="0.25">
      <c r="A140">
        <v>139</v>
      </c>
      <c r="B140" t="s">
        <v>155</v>
      </c>
      <c r="C140" t="s">
        <v>219</v>
      </c>
      <c r="D140">
        <v>60</v>
      </c>
    </row>
    <row r="141" spans="1:4" x14ac:dyDescent="0.25">
      <c r="A141">
        <v>140</v>
      </c>
      <c r="B141" t="s">
        <v>156</v>
      </c>
      <c r="C141" t="s">
        <v>216</v>
      </c>
      <c r="D141">
        <v>120</v>
      </c>
    </row>
    <row r="142" spans="1:4" x14ac:dyDescent="0.25">
      <c r="A142">
        <v>141</v>
      </c>
      <c r="B142" t="s">
        <v>157</v>
      </c>
      <c r="C142" t="s">
        <v>216</v>
      </c>
      <c r="D142">
        <v>600</v>
      </c>
    </row>
    <row r="143" spans="1:4" x14ac:dyDescent="0.25">
      <c r="A143">
        <v>142</v>
      </c>
      <c r="B143" t="s">
        <v>158</v>
      </c>
      <c r="C143" t="s">
        <v>216</v>
      </c>
      <c r="D143">
        <v>2000</v>
      </c>
    </row>
    <row r="144" spans="1:4" x14ac:dyDescent="0.25">
      <c r="A144">
        <v>143</v>
      </c>
      <c r="B144" t="s">
        <v>159</v>
      </c>
      <c r="C144" t="s">
        <v>215</v>
      </c>
      <c r="D144">
        <v>200</v>
      </c>
    </row>
    <row r="145" spans="1:4" x14ac:dyDescent="0.25">
      <c r="A145">
        <v>144</v>
      </c>
      <c r="B145" t="s">
        <v>160</v>
      </c>
      <c r="C145" t="s">
        <v>216</v>
      </c>
      <c r="D145">
        <v>1000</v>
      </c>
    </row>
    <row r="146" spans="1:4" x14ac:dyDescent="0.25">
      <c r="A146">
        <v>145</v>
      </c>
      <c r="B146" t="s">
        <v>161</v>
      </c>
      <c r="C146" t="s">
        <v>216</v>
      </c>
      <c r="D146">
        <v>200</v>
      </c>
    </row>
    <row r="147" spans="1:4" x14ac:dyDescent="0.25">
      <c r="A147">
        <v>146</v>
      </c>
      <c r="B147" t="s">
        <v>162</v>
      </c>
      <c r="C147" t="s">
        <v>219</v>
      </c>
      <c r="D147">
        <v>50</v>
      </c>
    </row>
    <row r="148" spans="1:4" x14ac:dyDescent="0.25">
      <c r="A148">
        <v>147</v>
      </c>
      <c r="B148" t="s">
        <v>163</v>
      </c>
      <c r="C148" t="s">
        <v>216</v>
      </c>
      <c r="D148">
        <v>120</v>
      </c>
    </row>
    <row r="149" spans="1:4" x14ac:dyDescent="0.25">
      <c r="A149">
        <v>148</v>
      </c>
      <c r="B149" t="s">
        <v>164</v>
      </c>
      <c r="C149" t="s">
        <v>218</v>
      </c>
      <c r="D149">
        <v>100</v>
      </c>
    </row>
    <row r="150" spans="1:4" x14ac:dyDescent="0.25">
      <c r="A150">
        <v>149</v>
      </c>
      <c r="B150" t="s">
        <v>165</v>
      </c>
      <c r="C150" t="s">
        <v>216</v>
      </c>
      <c r="D150">
        <v>100</v>
      </c>
    </row>
    <row r="151" spans="1:4" x14ac:dyDescent="0.25">
      <c r="A151">
        <v>150</v>
      </c>
      <c r="B151" t="s">
        <v>166</v>
      </c>
      <c r="C151" t="s">
        <v>216</v>
      </c>
      <c r="D151">
        <v>200</v>
      </c>
    </row>
    <row r="152" spans="1:4" x14ac:dyDescent="0.25">
      <c r="A152">
        <v>151</v>
      </c>
      <c r="B152" t="s">
        <v>167</v>
      </c>
      <c r="C152" t="s">
        <v>219</v>
      </c>
      <c r="D152">
        <v>30</v>
      </c>
    </row>
    <row r="153" spans="1:4" x14ac:dyDescent="0.25">
      <c r="A153">
        <v>152</v>
      </c>
      <c r="B153" t="s">
        <v>168</v>
      </c>
      <c r="C153" t="s">
        <v>219</v>
      </c>
      <c r="D153">
        <v>6</v>
      </c>
    </row>
    <row r="154" spans="1:4" x14ac:dyDescent="0.25">
      <c r="A154">
        <v>153</v>
      </c>
      <c r="B154" t="s">
        <v>169</v>
      </c>
      <c r="C154" t="s">
        <v>219</v>
      </c>
      <c r="D154">
        <v>100</v>
      </c>
    </row>
    <row r="155" spans="1:4" x14ac:dyDescent="0.25">
      <c r="A155">
        <v>154</v>
      </c>
      <c r="B155" t="s">
        <v>170</v>
      </c>
      <c r="C155" t="s">
        <v>216</v>
      </c>
      <c r="D155">
        <v>400</v>
      </c>
    </row>
    <row r="156" spans="1:4" x14ac:dyDescent="0.25">
      <c r="A156">
        <v>155</v>
      </c>
      <c r="B156" t="s">
        <v>171</v>
      </c>
      <c r="C156" t="s">
        <v>225</v>
      </c>
      <c r="D156">
        <v>10000</v>
      </c>
    </row>
    <row r="157" spans="1:4" x14ac:dyDescent="0.25">
      <c r="A157">
        <v>156</v>
      </c>
      <c r="B157" t="s">
        <v>172</v>
      </c>
      <c r="C157" t="s">
        <v>225</v>
      </c>
      <c r="D157">
        <v>6000</v>
      </c>
    </row>
    <row r="158" spans="1:4" x14ac:dyDescent="0.25">
      <c r="A158">
        <v>157</v>
      </c>
      <c r="B158" t="s">
        <v>173</v>
      </c>
      <c r="C158" t="s">
        <v>225</v>
      </c>
      <c r="D158">
        <v>8000</v>
      </c>
    </row>
    <row r="159" spans="1:4" x14ac:dyDescent="0.25">
      <c r="A159">
        <v>158</v>
      </c>
      <c r="B159" t="s">
        <v>174</v>
      </c>
      <c r="C159" t="s">
        <v>225</v>
      </c>
      <c r="D159">
        <v>2000</v>
      </c>
    </row>
    <row r="160" spans="1:4" x14ac:dyDescent="0.25">
      <c r="A160">
        <v>159</v>
      </c>
      <c r="B160" t="s">
        <v>175</v>
      </c>
      <c r="C160" t="s">
        <v>216</v>
      </c>
      <c r="D160">
        <v>1000</v>
      </c>
    </row>
    <row r="161" spans="1:4" x14ac:dyDescent="0.25">
      <c r="A161">
        <v>160</v>
      </c>
      <c r="B161" t="s">
        <v>176</v>
      </c>
      <c r="C161" t="s">
        <v>217</v>
      </c>
      <c r="D161">
        <v>60</v>
      </c>
    </row>
    <row r="162" spans="1:4" x14ac:dyDescent="0.25">
      <c r="A162">
        <v>161</v>
      </c>
      <c r="B162" t="s">
        <v>177</v>
      </c>
      <c r="C162" t="s">
        <v>216</v>
      </c>
      <c r="D162">
        <v>1000</v>
      </c>
    </row>
    <row r="163" spans="1:4" x14ac:dyDescent="0.25">
      <c r="A163">
        <v>162</v>
      </c>
      <c r="B163" t="s">
        <v>178</v>
      </c>
      <c r="C163" t="s">
        <v>216</v>
      </c>
      <c r="D163">
        <v>1500</v>
      </c>
    </row>
    <row r="164" spans="1:4" x14ac:dyDescent="0.25">
      <c r="A164">
        <v>163</v>
      </c>
      <c r="B164" t="s">
        <v>179</v>
      </c>
      <c r="C164" t="s">
        <v>218</v>
      </c>
      <c r="D164">
        <v>800</v>
      </c>
    </row>
    <row r="165" spans="1:4" x14ac:dyDescent="0.25">
      <c r="A165">
        <v>164</v>
      </c>
      <c r="B165" t="s">
        <v>180</v>
      </c>
      <c r="C165" t="s">
        <v>218</v>
      </c>
      <c r="D165">
        <v>400</v>
      </c>
    </row>
    <row r="166" spans="1:4" x14ac:dyDescent="0.25">
      <c r="A166">
        <v>165</v>
      </c>
      <c r="B166" t="s">
        <v>181</v>
      </c>
      <c r="C166" t="s">
        <v>218</v>
      </c>
      <c r="D166">
        <v>300</v>
      </c>
    </row>
    <row r="167" spans="1:4" x14ac:dyDescent="0.25">
      <c r="A167">
        <v>166</v>
      </c>
      <c r="B167" t="s">
        <v>182</v>
      </c>
      <c r="C167" t="s">
        <v>218</v>
      </c>
      <c r="D167">
        <v>50</v>
      </c>
    </row>
    <row r="168" spans="1:4" x14ac:dyDescent="0.25">
      <c r="A168">
        <v>167</v>
      </c>
      <c r="B168" t="s">
        <v>183</v>
      </c>
      <c r="C168" t="s">
        <v>218</v>
      </c>
      <c r="D168">
        <v>400</v>
      </c>
    </row>
    <row r="169" spans="1:4" x14ac:dyDescent="0.25">
      <c r="A169">
        <v>168</v>
      </c>
      <c r="B169" t="s">
        <v>184</v>
      </c>
      <c r="C169" t="s">
        <v>218</v>
      </c>
      <c r="D169">
        <v>100</v>
      </c>
    </row>
    <row r="170" spans="1:4" x14ac:dyDescent="0.25">
      <c r="A170">
        <v>169</v>
      </c>
      <c r="B170" t="s">
        <v>185</v>
      </c>
      <c r="C170" t="s">
        <v>219</v>
      </c>
      <c r="D170">
        <v>100</v>
      </c>
    </row>
    <row r="171" spans="1:4" x14ac:dyDescent="0.25">
      <c r="A171">
        <v>170</v>
      </c>
      <c r="B171" t="s">
        <v>186</v>
      </c>
      <c r="C171" t="s">
        <v>218</v>
      </c>
      <c r="D171">
        <v>100</v>
      </c>
    </row>
    <row r="172" spans="1:4" x14ac:dyDescent="0.25">
      <c r="A172">
        <v>171</v>
      </c>
      <c r="B172" t="s">
        <v>187</v>
      </c>
      <c r="C172" t="s">
        <v>218</v>
      </c>
      <c r="D172">
        <v>2000</v>
      </c>
    </row>
    <row r="173" spans="1:4" x14ac:dyDescent="0.25">
      <c r="A173">
        <v>172</v>
      </c>
      <c r="B173" t="s">
        <v>188</v>
      </c>
      <c r="C173" t="s">
        <v>218</v>
      </c>
      <c r="D173">
        <v>100</v>
      </c>
    </row>
    <row r="174" spans="1:4" x14ac:dyDescent="0.25">
      <c r="A174">
        <v>173</v>
      </c>
      <c r="B174" t="s">
        <v>189</v>
      </c>
      <c r="C174" t="s">
        <v>218</v>
      </c>
      <c r="D174">
        <v>4000</v>
      </c>
    </row>
    <row r="175" spans="1:4" x14ac:dyDescent="0.25">
      <c r="A175">
        <v>174</v>
      </c>
      <c r="B175" t="s">
        <v>190</v>
      </c>
      <c r="C175" t="s">
        <v>217</v>
      </c>
      <c r="D175">
        <v>120</v>
      </c>
    </row>
    <row r="176" spans="1:4" x14ac:dyDescent="0.25">
      <c r="A176">
        <v>175</v>
      </c>
      <c r="B176" t="s">
        <v>191</v>
      </c>
      <c r="C176" t="s">
        <v>218</v>
      </c>
      <c r="D176">
        <v>60</v>
      </c>
    </row>
    <row r="177" spans="1:4" x14ac:dyDescent="0.25">
      <c r="A177">
        <v>176</v>
      </c>
      <c r="B177" t="s">
        <v>192</v>
      </c>
      <c r="C177" t="s">
        <v>219</v>
      </c>
      <c r="D177">
        <v>20</v>
      </c>
    </row>
    <row r="178" spans="1:4" x14ac:dyDescent="0.25">
      <c r="A178">
        <v>177</v>
      </c>
      <c r="B178" t="s">
        <v>193</v>
      </c>
      <c r="C178" t="s">
        <v>218</v>
      </c>
      <c r="D178">
        <v>100</v>
      </c>
    </row>
    <row r="179" spans="1:4" x14ac:dyDescent="0.25">
      <c r="A179">
        <v>178</v>
      </c>
      <c r="B179" t="s">
        <v>30</v>
      </c>
      <c r="C179" t="s">
        <v>221</v>
      </c>
      <c r="D179">
        <v>100</v>
      </c>
    </row>
    <row r="180" spans="1:4" x14ac:dyDescent="0.25">
      <c r="A180">
        <v>179</v>
      </c>
      <c r="B180" t="s">
        <v>194</v>
      </c>
      <c r="C180" t="s">
        <v>216</v>
      </c>
      <c r="D180">
        <v>50</v>
      </c>
    </row>
    <row r="181" spans="1:4" x14ac:dyDescent="0.25">
      <c r="A181">
        <v>180</v>
      </c>
      <c r="B181" t="s">
        <v>195</v>
      </c>
      <c r="C181" t="s">
        <v>216</v>
      </c>
      <c r="D181">
        <v>20</v>
      </c>
    </row>
    <row r="182" spans="1:4" x14ac:dyDescent="0.25">
      <c r="A182">
        <v>181</v>
      </c>
      <c r="B182" t="s">
        <v>196</v>
      </c>
      <c r="C182" t="s">
        <v>225</v>
      </c>
      <c r="D182">
        <v>600</v>
      </c>
    </row>
    <row r="183" spans="1:4" x14ac:dyDescent="0.25">
      <c r="A183">
        <v>182</v>
      </c>
      <c r="B183" t="s">
        <v>197</v>
      </c>
      <c r="C183" t="s">
        <v>218</v>
      </c>
      <c r="D183">
        <v>1000</v>
      </c>
    </row>
    <row r="184" spans="1:4" x14ac:dyDescent="0.25">
      <c r="A184">
        <v>183</v>
      </c>
      <c r="B184" t="s">
        <v>198</v>
      </c>
      <c r="C184" t="s">
        <v>218</v>
      </c>
      <c r="D184">
        <v>100</v>
      </c>
    </row>
    <row r="185" spans="1:4" x14ac:dyDescent="0.25">
      <c r="A185">
        <v>184</v>
      </c>
      <c r="B185" t="s">
        <v>199</v>
      </c>
      <c r="C185" t="s">
        <v>218</v>
      </c>
      <c r="D185">
        <v>800</v>
      </c>
    </row>
    <row r="186" spans="1:4" x14ac:dyDescent="0.25">
      <c r="A186">
        <v>185</v>
      </c>
      <c r="B186" t="s">
        <v>200</v>
      </c>
      <c r="C186" t="s">
        <v>219</v>
      </c>
      <c r="D186">
        <v>50</v>
      </c>
    </row>
    <row r="187" spans="1:4" x14ac:dyDescent="0.25">
      <c r="A187">
        <v>186</v>
      </c>
      <c r="B187" t="s">
        <v>201</v>
      </c>
      <c r="C187" t="s">
        <v>219</v>
      </c>
      <c r="D187">
        <v>60</v>
      </c>
    </row>
    <row r="188" spans="1:4" x14ac:dyDescent="0.25">
      <c r="A188">
        <v>187</v>
      </c>
      <c r="B188" t="s">
        <v>202</v>
      </c>
      <c r="C188" t="s">
        <v>219</v>
      </c>
      <c r="D188">
        <v>60</v>
      </c>
    </row>
    <row r="189" spans="1:4" x14ac:dyDescent="0.25">
      <c r="A189">
        <v>188</v>
      </c>
      <c r="B189" t="s">
        <v>203</v>
      </c>
      <c r="C189" t="s">
        <v>217</v>
      </c>
      <c r="D189">
        <v>60</v>
      </c>
    </row>
    <row r="190" spans="1:4" x14ac:dyDescent="0.25">
      <c r="A190">
        <v>189</v>
      </c>
      <c r="B190" t="s">
        <v>204</v>
      </c>
      <c r="C190" t="s">
        <v>217</v>
      </c>
      <c r="D190">
        <v>60</v>
      </c>
    </row>
    <row r="191" spans="1:4" x14ac:dyDescent="0.25">
      <c r="A191">
        <v>190</v>
      </c>
      <c r="B191" t="s">
        <v>205</v>
      </c>
      <c r="C191" t="s">
        <v>218</v>
      </c>
      <c r="D191">
        <v>120</v>
      </c>
    </row>
    <row r="192" spans="1:4" x14ac:dyDescent="0.25">
      <c r="A192">
        <v>191</v>
      </c>
      <c r="B192" t="s">
        <v>206</v>
      </c>
      <c r="C192" t="s">
        <v>218</v>
      </c>
      <c r="D192">
        <v>1000</v>
      </c>
    </row>
    <row r="193" spans="1:4" x14ac:dyDescent="0.25">
      <c r="A193">
        <v>192</v>
      </c>
      <c r="B193" t="s">
        <v>207</v>
      </c>
      <c r="C193" t="s">
        <v>219</v>
      </c>
      <c r="D193">
        <v>24</v>
      </c>
    </row>
    <row r="194" spans="1:4" x14ac:dyDescent="0.25">
      <c r="A194">
        <v>193</v>
      </c>
      <c r="B194" t="s">
        <v>208</v>
      </c>
      <c r="C194" t="s">
        <v>219</v>
      </c>
      <c r="D194">
        <v>24</v>
      </c>
    </row>
    <row r="195" spans="1:4" x14ac:dyDescent="0.25">
      <c r="A195">
        <v>194</v>
      </c>
      <c r="B195" t="s">
        <v>209</v>
      </c>
      <c r="C195" t="s">
        <v>217</v>
      </c>
      <c r="D195">
        <v>100</v>
      </c>
    </row>
    <row r="196" spans="1:4" x14ac:dyDescent="0.25">
      <c r="A196">
        <v>195</v>
      </c>
      <c r="B196" t="s">
        <v>210</v>
      </c>
      <c r="C196" t="s">
        <v>218</v>
      </c>
      <c r="D196">
        <v>1000</v>
      </c>
    </row>
    <row r="197" spans="1:4" x14ac:dyDescent="0.25">
      <c r="A197">
        <v>196</v>
      </c>
      <c r="B197" t="s">
        <v>211</v>
      </c>
      <c r="C197" t="s">
        <v>217</v>
      </c>
      <c r="D197">
        <v>60</v>
      </c>
    </row>
    <row r="198" spans="1:4" x14ac:dyDescent="0.25">
      <c r="A198">
        <v>197</v>
      </c>
      <c r="B198" t="s">
        <v>212</v>
      </c>
      <c r="C198" t="s">
        <v>219</v>
      </c>
      <c r="D198">
        <v>30</v>
      </c>
    </row>
    <row r="199" spans="1:4" x14ac:dyDescent="0.25">
      <c r="A199">
        <v>198</v>
      </c>
      <c r="B199" t="s">
        <v>213</v>
      </c>
      <c r="C199" t="s">
        <v>218</v>
      </c>
      <c r="D199">
        <v>200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Principal</vt:lpstr>
      <vt:lpstr>DadosProposta</vt:lpstr>
      <vt:lpstr>Modelo</vt:lpstr>
      <vt:lpstr>TabelaModelo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Murilo Campos Seidenstucker</cp:lastModifiedBy>
  <dcterms:created xsi:type="dcterms:W3CDTF">2015-06-05T18:19:34Z</dcterms:created>
  <dcterms:modified xsi:type="dcterms:W3CDTF">2023-07-14T12:40:12Z</dcterms:modified>
</cp:coreProperties>
</file>